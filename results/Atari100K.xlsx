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nternet下载\1109_EAWM_Facilitating_Policy__Supplementary Material (1)\EAWM-supp\results\"/>
    </mc:Choice>
  </mc:AlternateContent>
  <xr:revisionPtr revIDLastSave="0" documentId="13_ncr:1_{293A7CD8-B6AC-4409-89EF-18A74C53216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8" i="1" l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30" i="1" s="1"/>
  <c r="BC13" i="1"/>
  <c r="BC12" i="1"/>
  <c r="BC11" i="1"/>
  <c r="BC10" i="1"/>
  <c r="BC9" i="1"/>
  <c r="BC8" i="1"/>
  <c r="BC7" i="1"/>
  <c r="BC6" i="1"/>
  <c r="BC5" i="1"/>
  <c r="BC4" i="1"/>
  <c r="BC3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B3" i="1"/>
  <c r="BA28" i="1"/>
  <c r="AY28" i="1"/>
  <c r="AW28" i="1"/>
  <c r="BA27" i="1"/>
  <c r="AY27" i="1"/>
  <c r="AW27" i="1"/>
  <c r="BA26" i="1"/>
  <c r="AY26" i="1"/>
  <c r="AW26" i="1"/>
  <c r="BA25" i="1"/>
  <c r="AY25" i="1"/>
  <c r="AW25" i="1"/>
  <c r="BA24" i="1"/>
  <c r="AY24" i="1"/>
  <c r="AW24" i="1"/>
  <c r="BA23" i="1"/>
  <c r="AY23" i="1"/>
  <c r="AW23" i="1"/>
  <c r="BA22" i="1"/>
  <c r="AY22" i="1"/>
  <c r="AW22" i="1"/>
  <c r="BA21" i="1"/>
  <c r="AY21" i="1"/>
  <c r="AW21" i="1"/>
  <c r="BA20" i="1"/>
  <c r="AY20" i="1"/>
  <c r="AW20" i="1"/>
  <c r="BA19" i="1"/>
  <c r="AY19" i="1"/>
  <c r="AW19" i="1"/>
  <c r="BA18" i="1"/>
  <c r="AY18" i="1"/>
  <c r="AW18" i="1"/>
  <c r="BA17" i="1"/>
  <c r="AY17" i="1"/>
  <c r="AW17" i="1"/>
  <c r="BA16" i="1"/>
  <c r="AY16" i="1"/>
  <c r="AW16" i="1"/>
  <c r="BA15" i="1"/>
  <c r="AY15" i="1"/>
  <c r="AW15" i="1"/>
  <c r="BA14" i="1"/>
  <c r="AY14" i="1"/>
  <c r="AW14" i="1"/>
  <c r="BA13" i="1"/>
  <c r="AY13" i="1"/>
  <c r="AW13" i="1"/>
  <c r="BA12" i="1"/>
  <c r="AY12" i="1"/>
  <c r="AW12" i="1"/>
  <c r="BA11" i="1"/>
  <c r="AY11" i="1"/>
  <c r="AW11" i="1"/>
  <c r="BA10" i="1"/>
  <c r="AY10" i="1"/>
  <c r="AW10" i="1"/>
  <c r="BA9" i="1"/>
  <c r="AY9" i="1"/>
  <c r="AW9" i="1"/>
  <c r="BA8" i="1"/>
  <c r="AY8" i="1"/>
  <c r="AW8" i="1"/>
  <c r="BA7" i="1"/>
  <c r="AY7" i="1"/>
  <c r="AW7" i="1"/>
  <c r="BA6" i="1"/>
  <c r="AY6" i="1"/>
  <c r="AW6" i="1"/>
  <c r="BA5" i="1"/>
  <c r="AY5" i="1"/>
  <c r="AW5" i="1"/>
  <c r="BA4" i="1"/>
  <c r="AY4" i="1"/>
  <c r="AW4" i="1"/>
  <c r="BA3" i="1"/>
  <c r="AY3" i="1"/>
  <c r="AW3" i="1"/>
  <c r="AU30" i="1"/>
  <c r="AU29" i="1"/>
  <c r="AT4" i="1"/>
  <c r="AT5" i="1"/>
  <c r="AT6" i="1"/>
  <c r="AT7" i="1"/>
  <c r="AT8" i="1"/>
  <c r="AU8" i="1" s="1"/>
  <c r="AT9" i="1"/>
  <c r="AU9" i="1" s="1"/>
  <c r="AT10" i="1"/>
  <c r="AT11" i="1"/>
  <c r="AT12" i="1"/>
  <c r="AT13" i="1"/>
  <c r="AT14" i="1"/>
  <c r="AT15" i="1"/>
  <c r="AT16" i="1"/>
  <c r="AT17" i="1"/>
  <c r="AT18" i="1"/>
  <c r="AT19" i="1"/>
  <c r="AU19" i="1" s="1"/>
  <c r="AT20" i="1"/>
  <c r="AT21" i="1"/>
  <c r="AT22" i="1"/>
  <c r="AT23" i="1"/>
  <c r="AT24" i="1"/>
  <c r="AT25" i="1"/>
  <c r="AT26" i="1"/>
  <c r="AT27" i="1"/>
  <c r="AU27" i="1" s="1"/>
  <c r="AT28" i="1"/>
  <c r="AU28" i="1" s="1"/>
  <c r="AT3" i="1"/>
  <c r="AU10" i="1"/>
  <c r="AU11" i="1"/>
  <c r="AU12" i="1"/>
  <c r="AU13" i="1"/>
  <c r="AU14" i="1"/>
  <c r="AU15" i="1"/>
  <c r="AU16" i="1"/>
  <c r="AU17" i="1"/>
  <c r="AU18" i="1"/>
  <c r="AU20" i="1"/>
  <c r="AU21" i="1"/>
  <c r="AU22" i="1"/>
  <c r="AU23" i="1"/>
  <c r="AU3" i="1"/>
  <c r="AU26" i="1"/>
  <c r="AU25" i="1"/>
  <c r="AU24" i="1"/>
  <c r="AU7" i="1"/>
  <c r="AU6" i="1"/>
  <c r="AU5" i="1"/>
  <c r="AU4" i="1"/>
  <c r="AS28" i="1"/>
  <c r="AQ28" i="1"/>
  <c r="AO28" i="1"/>
  <c r="AS27" i="1"/>
  <c r="AQ27" i="1"/>
  <c r="AO27" i="1"/>
  <c r="AS26" i="1"/>
  <c r="AQ26" i="1"/>
  <c r="AO26" i="1"/>
  <c r="AS25" i="1"/>
  <c r="AQ25" i="1"/>
  <c r="AO25" i="1"/>
  <c r="AS24" i="1"/>
  <c r="AQ24" i="1"/>
  <c r="AO24" i="1"/>
  <c r="AS23" i="1"/>
  <c r="AQ23" i="1"/>
  <c r="AO23" i="1"/>
  <c r="AS22" i="1"/>
  <c r="AQ22" i="1"/>
  <c r="AO22" i="1"/>
  <c r="AS21" i="1"/>
  <c r="AQ21" i="1"/>
  <c r="AO21" i="1"/>
  <c r="AS20" i="1"/>
  <c r="AQ20" i="1"/>
  <c r="AO20" i="1"/>
  <c r="AS19" i="1"/>
  <c r="AQ19" i="1"/>
  <c r="AO19" i="1"/>
  <c r="AS18" i="1"/>
  <c r="AQ18" i="1"/>
  <c r="AO18" i="1"/>
  <c r="AS17" i="1"/>
  <c r="AQ17" i="1"/>
  <c r="AO17" i="1"/>
  <c r="AS16" i="1"/>
  <c r="AQ16" i="1"/>
  <c r="AO16" i="1"/>
  <c r="AS15" i="1"/>
  <c r="AQ15" i="1"/>
  <c r="AO15" i="1"/>
  <c r="AS14" i="1"/>
  <c r="AQ14" i="1"/>
  <c r="AO14" i="1"/>
  <c r="AS13" i="1"/>
  <c r="AQ13" i="1"/>
  <c r="AO13" i="1"/>
  <c r="AS12" i="1"/>
  <c r="AQ12" i="1"/>
  <c r="AO12" i="1"/>
  <c r="AS11" i="1"/>
  <c r="AQ11" i="1"/>
  <c r="AO11" i="1"/>
  <c r="AS10" i="1"/>
  <c r="AQ10" i="1"/>
  <c r="AO10" i="1"/>
  <c r="AS9" i="1"/>
  <c r="AQ9" i="1"/>
  <c r="AO9" i="1"/>
  <c r="AS8" i="1"/>
  <c r="AQ8" i="1"/>
  <c r="AO8" i="1"/>
  <c r="AS7" i="1"/>
  <c r="AQ7" i="1"/>
  <c r="AO7" i="1"/>
  <c r="AS6" i="1"/>
  <c r="AQ6" i="1"/>
  <c r="AO6" i="1"/>
  <c r="AS5" i="1"/>
  <c r="AQ5" i="1"/>
  <c r="AO5" i="1"/>
  <c r="AS4" i="1"/>
  <c r="AQ4" i="1"/>
  <c r="AO4" i="1"/>
  <c r="AS3" i="1"/>
  <c r="AQ3" i="1"/>
  <c r="AO3" i="1"/>
  <c r="AM30" i="1"/>
  <c r="AM29" i="1"/>
  <c r="AL28" i="1"/>
  <c r="AM28" i="1" s="1"/>
  <c r="AK28" i="1"/>
  <c r="AI28" i="1"/>
  <c r="AG28" i="1"/>
  <c r="AE28" i="1"/>
  <c r="AC28" i="1"/>
  <c r="AL27" i="1"/>
  <c r="AM27" i="1" s="1"/>
  <c r="AK27" i="1"/>
  <c r="AI27" i="1"/>
  <c r="AG27" i="1"/>
  <c r="AE27" i="1"/>
  <c r="AC27" i="1"/>
  <c r="AL26" i="1"/>
  <c r="AM26" i="1" s="1"/>
  <c r="AK26" i="1"/>
  <c r="AI26" i="1"/>
  <c r="AG26" i="1"/>
  <c r="AE26" i="1"/>
  <c r="AC26" i="1"/>
  <c r="AL25" i="1"/>
  <c r="AM25" i="1" s="1"/>
  <c r="AK25" i="1"/>
  <c r="AI25" i="1"/>
  <c r="AG25" i="1"/>
  <c r="AE25" i="1"/>
  <c r="AC25" i="1"/>
  <c r="AM24" i="1"/>
  <c r="AL24" i="1"/>
  <c r="AK24" i="1"/>
  <c r="AI24" i="1"/>
  <c r="AG24" i="1"/>
  <c r="AE24" i="1"/>
  <c r="AC24" i="1"/>
  <c r="AL23" i="1"/>
  <c r="AM23" i="1" s="1"/>
  <c r="AK23" i="1"/>
  <c r="AI23" i="1"/>
  <c r="AG23" i="1"/>
  <c r="AE23" i="1"/>
  <c r="AC23" i="1"/>
  <c r="AL22" i="1"/>
  <c r="AM22" i="1" s="1"/>
  <c r="AK22" i="1"/>
  <c r="AI22" i="1"/>
  <c r="AG22" i="1"/>
  <c r="AE22" i="1"/>
  <c r="AC22" i="1"/>
  <c r="AL21" i="1"/>
  <c r="AM21" i="1" s="1"/>
  <c r="AK21" i="1"/>
  <c r="AI21" i="1"/>
  <c r="AG21" i="1"/>
  <c r="AE21" i="1"/>
  <c r="AC21" i="1"/>
  <c r="AL20" i="1"/>
  <c r="AM20" i="1" s="1"/>
  <c r="AK20" i="1"/>
  <c r="AI20" i="1"/>
  <c r="AG20" i="1"/>
  <c r="AE20" i="1"/>
  <c r="AC20" i="1"/>
  <c r="AM19" i="1"/>
  <c r="AL19" i="1"/>
  <c r="AK19" i="1"/>
  <c r="AI19" i="1"/>
  <c r="AG19" i="1"/>
  <c r="AE19" i="1"/>
  <c r="AC19" i="1"/>
  <c r="AL18" i="1"/>
  <c r="AM18" i="1" s="1"/>
  <c r="AK18" i="1"/>
  <c r="AI18" i="1"/>
  <c r="AG18" i="1"/>
  <c r="AE18" i="1"/>
  <c r="AC18" i="1"/>
  <c r="AL17" i="1"/>
  <c r="AM17" i="1" s="1"/>
  <c r="AK17" i="1"/>
  <c r="AI17" i="1"/>
  <c r="AG17" i="1"/>
  <c r="AE17" i="1"/>
  <c r="AC17" i="1"/>
  <c r="AL16" i="1"/>
  <c r="AM16" i="1" s="1"/>
  <c r="AK16" i="1"/>
  <c r="AI16" i="1"/>
  <c r="AG16" i="1"/>
  <c r="AE16" i="1"/>
  <c r="AC16" i="1"/>
  <c r="AL15" i="1"/>
  <c r="AM15" i="1" s="1"/>
  <c r="AK15" i="1"/>
  <c r="AI15" i="1"/>
  <c r="AG15" i="1"/>
  <c r="AE15" i="1"/>
  <c r="AC15" i="1"/>
  <c r="AL14" i="1"/>
  <c r="AM14" i="1" s="1"/>
  <c r="AK14" i="1"/>
  <c r="AI14" i="1"/>
  <c r="AG14" i="1"/>
  <c r="AE14" i="1"/>
  <c r="AC14" i="1"/>
  <c r="AL13" i="1"/>
  <c r="AM13" i="1" s="1"/>
  <c r="AK13" i="1"/>
  <c r="AI13" i="1"/>
  <c r="AG13" i="1"/>
  <c r="AE13" i="1"/>
  <c r="AC13" i="1"/>
  <c r="AL12" i="1"/>
  <c r="AM12" i="1" s="1"/>
  <c r="AK12" i="1"/>
  <c r="AI12" i="1"/>
  <c r="AG12" i="1"/>
  <c r="AE12" i="1"/>
  <c r="AC12" i="1"/>
  <c r="AM11" i="1"/>
  <c r="AL11" i="1"/>
  <c r="AK11" i="1"/>
  <c r="AI11" i="1"/>
  <c r="AG11" i="1"/>
  <c r="AE11" i="1"/>
  <c r="AC11" i="1"/>
  <c r="AL10" i="1"/>
  <c r="AM10" i="1" s="1"/>
  <c r="AK10" i="1"/>
  <c r="AI10" i="1"/>
  <c r="AG10" i="1"/>
  <c r="AE10" i="1"/>
  <c r="AC10" i="1"/>
  <c r="AL9" i="1"/>
  <c r="AM9" i="1" s="1"/>
  <c r="AK9" i="1"/>
  <c r="AI9" i="1"/>
  <c r="AG9" i="1"/>
  <c r="AE9" i="1"/>
  <c r="AC9" i="1"/>
  <c r="AL8" i="1"/>
  <c r="AM8" i="1" s="1"/>
  <c r="AK8" i="1"/>
  <c r="AI8" i="1"/>
  <c r="AG8" i="1"/>
  <c r="AE8" i="1"/>
  <c r="AC8" i="1"/>
  <c r="AL7" i="1"/>
  <c r="AM7" i="1" s="1"/>
  <c r="AK7" i="1"/>
  <c r="AI7" i="1"/>
  <c r="AG7" i="1"/>
  <c r="AE7" i="1"/>
  <c r="AC7" i="1"/>
  <c r="AL6" i="1"/>
  <c r="AM6" i="1" s="1"/>
  <c r="AK6" i="1"/>
  <c r="AI6" i="1"/>
  <c r="AG6" i="1"/>
  <c r="AE6" i="1"/>
  <c r="AC6" i="1"/>
  <c r="AL5" i="1"/>
  <c r="AM5" i="1" s="1"/>
  <c r="AK5" i="1"/>
  <c r="AI5" i="1"/>
  <c r="AG5" i="1"/>
  <c r="AE5" i="1"/>
  <c r="AC5" i="1"/>
  <c r="AM4" i="1"/>
  <c r="AL4" i="1"/>
  <c r="AK4" i="1"/>
  <c r="AI4" i="1"/>
  <c r="AG4" i="1"/>
  <c r="AE4" i="1"/>
  <c r="AC4" i="1"/>
  <c r="AL3" i="1"/>
  <c r="AM3" i="1" s="1"/>
  <c r="AK3" i="1"/>
  <c r="AI3" i="1"/>
  <c r="AG3" i="1"/>
  <c r="AE3" i="1"/>
  <c r="AC3" i="1"/>
  <c r="O30" i="1"/>
  <c r="AA30" i="1"/>
  <c r="AA29" i="1"/>
  <c r="Z28" i="1"/>
  <c r="AA28" i="1" s="1"/>
  <c r="Y28" i="1"/>
  <c r="W28" i="1"/>
  <c r="U28" i="1"/>
  <c r="S28" i="1"/>
  <c r="Q28" i="1"/>
  <c r="Z27" i="1"/>
  <c r="AA27" i="1" s="1"/>
  <c r="Y27" i="1"/>
  <c r="W27" i="1"/>
  <c r="U27" i="1"/>
  <c r="S27" i="1"/>
  <c r="Q27" i="1"/>
  <c r="Z26" i="1"/>
  <c r="AA26" i="1" s="1"/>
  <c r="Y26" i="1"/>
  <c r="W26" i="1"/>
  <c r="U26" i="1"/>
  <c r="S26" i="1"/>
  <c r="Q26" i="1"/>
  <c r="AA25" i="1"/>
  <c r="Z25" i="1"/>
  <c r="Y25" i="1"/>
  <c r="W25" i="1"/>
  <c r="U25" i="1"/>
  <c r="S25" i="1"/>
  <c r="Q25" i="1"/>
  <c r="Z24" i="1"/>
  <c r="AA24" i="1" s="1"/>
  <c r="Y24" i="1"/>
  <c r="W24" i="1"/>
  <c r="U24" i="1"/>
  <c r="S24" i="1"/>
  <c r="Q24" i="1"/>
  <c r="Z23" i="1"/>
  <c r="AA23" i="1" s="1"/>
  <c r="Y23" i="1"/>
  <c r="W23" i="1"/>
  <c r="U23" i="1"/>
  <c r="S23" i="1"/>
  <c r="Q23" i="1"/>
  <c r="AA22" i="1"/>
  <c r="Z22" i="1"/>
  <c r="Y22" i="1"/>
  <c r="W22" i="1"/>
  <c r="U22" i="1"/>
  <c r="S22" i="1"/>
  <c r="Q22" i="1"/>
  <c r="Z21" i="1"/>
  <c r="AA21" i="1" s="1"/>
  <c r="Y21" i="1"/>
  <c r="W21" i="1"/>
  <c r="U21" i="1"/>
  <c r="S21" i="1"/>
  <c r="Q21" i="1"/>
  <c r="Z20" i="1"/>
  <c r="AA20" i="1" s="1"/>
  <c r="Y20" i="1"/>
  <c r="W20" i="1"/>
  <c r="U20" i="1"/>
  <c r="S20" i="1"/>
  <c r="Q20" i="1"/>
  <c r="Z19" i="1"/>
  <c r="AA19" i="1" s="1"/>
  <c r="Y19" i="1"/>
  <c r="W19" i="1"/>
  <c r="U19" i="1"/>
  <c r="S19" i="1"/>
  <c r="Q19" i="1"/>
  <c r="Z18" i="1"/>
  <c r="AA18" i="1" s="1"/>
  <c r="Y18" i="1"/>
  <c r="W18" i="1"/>
  <c r="U18" i="1"/>
  <c r="S18" i="1"/>
  <c r="Q18" i="1"/>
  <c r="Z17" i="1"/>
  <c r="AA17" i="1" s="1"/>
  <c r="Y17" i="1"/>
  <c r="W17" i="1"/>
  <c r="U17" i="1"/>
  <c r="S17" i="1"/>
  <c r="Q17" i="1"/>
  <c r="Z16" i="1"/>
  <c r="AA16" i="1" s="1"/>
  <c r="Y16" i="1"/>
  <c r="W16" i="1"/>
  <c r="U16" i="1"/>
  <c r="S16" i="1"/>
  <c r="Q16" i="1"/>
  <c r="Z15" i="1"/>
  <c r="AA15" i="1" s="1"/>
  <c r="Y15" i="1"/>
  <c r="W15" i="1"/>
  <c r="U15" i="1"/>
  <c r="S15" i="1"/>
  <c r="Q15" i="1"/>
  <c r="Z14" i="1"/>
  <c r="AA14" i="1" s="1"/>
  <c r="Y14" i="1"/>
  <c r="W14" i="1"/>
  <c r="U14" i="1"/>
  <c r="S14" i="1"/>
  <c r="Q14" i="1"/>
  <c r="AA13" i="1"/>
  <c r="Z13" i="1"/>
  <c r="Y13" i="1"/>
  <c r="W13" i="1"/>
  <c r="U13" i="1"/>
  <c r="S13" i="1"/>
  <c r="Q13" i="1"/>
  <c r="Z12" i="1"/>
  <c r="AA12" i="1" s="1"/>
  <c r="Y12" i="1"/>
  <c r="W12" i="1"/>
  <c r="U12" i="1"/>
  <c r="S12" i="1"/>
  <c r="Q12" i="1"/>
  <c r="AA11" i="1"/>
  <c r="Z11" i="1"/>
  <c r="Y11" i="1"/>
  <c r="W11" i="1"/>
  <c r="U11" i="1"/>
  <c r="S11" i="1"/>
  <c r="Q11" i="1"/>
  <c r="Z10" i="1"/>
  <c r="AA10" i="1" s="1"/>
  <c r="Y10" i="1"/>
  <c r="W10" i="1"/>
  <c r="U10" i="1"/>
  <c r="S10" i="1"/>
  <c r="Q10" i="1"/>
  <c r="Z9" i="1"/>
  <c r="AA9" i="1" s="1"/>
  <c r="Y9" i="1"/>
  <c r="W9" i="1"/>
  <c r="U9" i="1"/>
  <c r="S9" i="1"/>
  <c r="Q9" i="1"/>
  <c r="AA8" i="1"/>
  <c r="Z8" i="1"/>
  <c r="Y8" i="1"/>
  <c r="W8" i="1"/>
  <c r="U8" i="1"/>
  <c r="S8" i="1"/>
  <c r="Q8" i="1"/>
  <c r="Z7" i="1"/>
  <c r="AA7" i="1" s="1"/>
  <c r="Y7" i="1"/>
  <c r="W7" i="1"/>
  <c r="U7" i="1"/>
  <c r="S7" i="1"/>
  <c r="Q7" i="1"/>
  <c r="Z6" i="1"/>
  <c r="AA6" i="1" s="1"/>
  <c r="Y6" i="1"/>
  <c r="W6" i="1"/>
  <c r="U6" i="1"/>
  <c r="S6" i="1"/>
  <c r="Q6" i="1"/>
  <c r="Z5" i="1"/>
  <c r="AA5" i="1" s="1"/>
  <c r="Y5" i="1"/>
  <c r="W5" i="1"/>
  <c r="U5" i="1"/>
  <c r="S5" i="1"/>
  <c r="Q5" i="1"/>
  <c r="Z4" i="1"/>
  <c r="AA4" i="1" s="1"/>
  <c r="Y4" i="1"/>
  <c r="W4" i="1"/>
  <c r="U4" i="1"/>
  <c r="S4" i="1"/>
  <c r="Q4" i="1"/>
  <c r="Z3" i="1"/>
  <c r="AA3" i="1" s="1"/>
  <c r="Y3" i="1"/>
  <c r="W3" i="1"/>
  <c r="U3" i="1"/>
  <c r="S3" i="1"/>
  <c r="Q3" i="1"/>
  <c r="O29" i="1"/>
  <c r="K27" i="1"/>
  <c r="K26" i="1"/>
  <c r="I24" i="1"/>
  <c r="K23" i="1"/>
  <c r="O22" i="1"/>
  <c r="G21" i="1"/>
  <c r="E20" i="1"/>
  <c r="I19" i="1"/>
  <c r="K14" i="1"/>
  <c r="I13" i="1"/>
  <c r="M12" i="1"/>
  <c r="I11" i="1"/>
  <c r="G10" i="1"/>
  <c r="I9" i="1"/>
  <c r="G4" i="1"/>
  <c r="C29" i="1"/>
  <c r="K3" i="1"/>
  <c r="N28" i="1"/>
  <c r="O28" i="1" s="1"/>
  <c r="M28" i="1"/>
  <c r="K28" i="1"/>
  <c r="I28" i="1"/>
  <c r="G28" i="1"/>
  <c r="E28" i="1"/>
  <c r="N27" i="1"/>
  <c r="O27" i="1" s="1"/>
  <c r="M27" i="1"/>
  <c r="E27" i="1"/>
  <c r="N26" i="1"/>
  <c r="M26" i="1"/>
  <c r="I26" i="1"/>
  <c r="G26" i="1"/>
  <c r="E26" i="1"/>
  <c r="O25" i="1"/>
  <c r="N25" i="1"/>
  <c r="M25" i="1"/>
  <c r="K25" i="1"/>
  <c r="I25" i="1"/>
  <c r="G25" i="1"/>
  <c r="E25" i="1"/>
  <c r="N24" i="1"/>
  <c r="O24" i="1" s="1"/>
  <c r="M24" i="1"/>
  <c r="K24" i="1"/>
  <c r="N23" i="1"/>
  <c r="N22" i="1"/>
  <c r="I22" i="1"/>
  <c r="G22" i="1"/>
  <c r="E22" i="1"/>
  <c r="N21" i="1"/>
  <c r="O21" i="1" s="1"/>
  <c r="M21" i="1"/>
  <c r="K21" i="1"/>
  <c r="I21" i="1"/>
  <c r="N20" i="1"/>
  <c r="N19" i="1"/>
  <c r="N18" i="1"/>
  <c r="O18" i="1" s="1"/>
  <c r="M18" i="1"/>
  <c r="K18" i="1"/>
  <c r="I18" i="1"/>
  <c r="G18" i="1"/>
  <c r="E18" i="1"/>
  <c r="N17" i="1"/>
  <c r="O17" i="1" s="1"/>
  <c r="M17" i="1"/>
  <c r="K17" i="1"/>
  <c r="I17" i="1"/>
  <c r="G17" i="1"/>
  <c r="E17" i="1"/>
  <c r="N16" i="1"/>
  <c r="M16" i="1"/>
  <c r="K16" i="1"/>
  <c r="I16" i="1"/>
  <c r="G16" i="1"/>
  <c r="E16" i="1"/>
  <c r="N15" i="1"/>
  <c r="O15" i="1" s="1"/>
  <c r="M15" i="1"/>
  <c r="K15" i="1"/>
  <c r="I15" i="1"/>
  <c r="G15" i="1"/>
  <c r="E15" i="1"/>
  <c r="N14" i="1"/>
  <c r="O14" i="1" s="1"/>
  <c r="M14" i="1"/>
  <c r="N13" i="1"/>
  <c r="N12" i="1"/>
  <c r="I12" i="1"/>
  <c r="G12" i="1"/>
  <c r="E12" i="1"/>
  <c r="O11" i="1"/>
  <c r="N11" i="1"/>
  <c r="M11" i="1"/>
  <c r="K11" i="1"/>
  <c r="N10" i="1"/>
  <c r="N9" i="1"/>
  <c r="O8" i="1"/>
  <c r="N8" i="1"/>
  <c r="M8" i="1"/>
  <c r="K8" i="1"/>
  <c r="I8" i="1"/>
  <c r="G8" i="1"/>
  <c r="E8" i="1"/>
  <c r="N7" i="1"/>
  <c r="O7" i="1" s="1"/>
  <c r="M7" i="1"/>
  <c r="K7" i="1"/>
  <c r="I7" i="1"/>
  <c r="G7" i="1"/>
  <c r="E7" i="1"/>
  <c r="N6" i="1"/>
  <c r="O6" i="1" s="1"/>
  <c r="M6" i="1"/>
  <c r="K6" i="1"/>
  <c r="I6" i="1"/>
  <c r="G6" i="1"/>
  <c r="E6" i="1"/>
  <c r="N5" i="1"/>
  <c r="O5" i="1" s="1"/>
  <c r="M5" i="1"/>
  <c r="K5" i="1"/>
  <c r="I5" i="1"/>
  <c r="G5" i="1"/>
  <c r="E5" i="1"/>
  <c r="N4" i="1"/>
  <c r="N3" i="1"/>
  <c r="E3" i="1"/>
  <c r="BC29" i="1" l="1"/>
  <c r="E19" i="1"/>
  <c r="G19" i="1"/>
  <c r="K19" i="1"/>
  <c r="I3" i="1"/>
  <c r="M19" i="1"/>
  <c r="O19" i="1"/>
  <c r="E23" i="1"/>
  <c r="O3" i="1"/>
  <c r="I10" i="1"/>
  <c r="K13" i="1"/>
  <c r="O16" i="1"/>
  <c r="G20" i="1"/>
  <c r="I23" i="1"/>
  <c r="G9" i="1"/>
  <c r="M9" i="1"/>
  <c r="E13" i="1"/>
  <c r="G13" i="1"/>
  <c r="E4" i="1"/>
  <c r="M13" i="1"/>
  <c r="M23" i="1"/>
  <c r="I4" i="1"/>
  <c r="O10" i="1"/>
  <c r="E14" i="1"/>
  <c r="M20" i="1"/>
  <c r="O23" i="1"/>
  <c r="E9" i="1"/>
  <c r="K12" i="1"/>
  <c r="K9" i="1"/>
  <c r="O9" i="1"/>
  <c r="E10" i="1"/>
  <c r="M3" i="1"/>
  <c r="G23" i="1"/>
  <c r="I20" i="1"/>
  <c r="M10" i="1"/>
  <c r="K20" i="1"/>
  <c r="K4" i="1"/>
  <c r="E11" i="1"/>
  <c r="G14" i="1"/>
  <c r="O20" i="1"/>
  <c r="E24" i="1"/>
  <c r="G27" i="1"/>
  <c r="M22" i="1"/>
  <c r="G3" i="1"/>
  <c r="K10" i="1"/>
  <c r="M4" i="1"/>
  <c r="G11" i="1"/>
  <c r="I14" i="1"/>
  <c r="E21" i="1"/>
  <c r="G24" i="1"/>
  <c r="I27" i="1"/>
  <c r="K22" i="1"/>
  <c r="O12" i="1"/>
  <c r="O13" i="1"/>
  <c r="O26" i="1"/>
  <c r="O4" i="1"/>
</calcChain>
</file>

<file path=xl/sharedStrings.xml><?xml version="1.0" encoding="utf-8"?>
<sst xmlns="http://schemas.openxmlformats.org/spreadsheetml/2006/main" count="113" uniqueCount="63">
  <si>
    <t>Random</t>
  </si>
  <si>
    <t>Human</t>
  </si>
  <si>
    <t>Alien</t>
  </si>
  <si>
    <t>Amidar</t>
  </si>
  <si>
    <t>Assault</t>
  </si>
  <si>
    <t>Asterix</t>
  </si>
  <si>
    <t>BankHeist</t>
  </si>
  <si>
    <t>BattleZone</t>
  </si>
  <si>
    <t>Boxing</t>
  </si>
  <si>
    <t>Breakout</t>
  </si>
  <si>
    <t>ChopperCommand</t>
    <phoneticPr fontId="1" type="noConversion"/>
  </si>
  <si>
    <t>CrazyClimber</t>
  </si>
  <si>
    <t>DemonAttack</t>
  </si>
  <si>
    <t>Freeway</t>
  </si>
  <si>
    <t>Frostbite</t>
  </si>
  <si>
    <t>Gopher</t>
  </si>
  <si>
    <t>Hero</t>
  </si>
  <si>
    <t>JamesBond</t>
    <phoneticPr fontId="1" type="noConversion"/>
  </si>
  <si>
    <t>Kangaroo</t>
  </si>
  <si>
    <t>Krull</t>
    <phoneticPr fontId="1" type="noConversion"/>
  </si>
  <si>
    <t>KungFuMaster</t>
    <phoneticPr fontId="1" type="noConversion"/>
  </si>
  <si>
    <t>MsPacman</t>
  </si>
  <si>
    <t>Pong</t>
  </si>
  <si>
    <t>PrivateEye</t>
  </si>
  <si>
    <t>Qbert</t>
  </si>
  <si>
    <t>RoadRunner</t>
  </si>
  <si>
    <t>Seaquest</t>
  </si>
  <si>
    <t>UpNDown</t>
  </si>
  <si>
    <t>IQM(↑)</t>
  </si>
  <si>
    <t>HNS</t>
    <phoneticPr fontId="1" type="noConversion"/>
  </si>
  <si>
    <t>Score</t>
    <phoneticPr fontId="1" type="noConversion"/>
  </si>
  <si>
    <t>#Superhuman(↑)</t>
    <phoneticPr fontId="1" type="noConversion"/>
  </si>
  <si>
    <r>
      <t>Optimality Gap(</t>
    </r>
    <r>
      <rPr>
        <sz val="11"/>
        <color theme="1"/>
        <rFont val="等线"/>
        <family val="3"/>
        <charset val="134"/>
      </rPr>
      <t>↓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</si>
  <si>
    <t>N/A</t>
    <phoneticPr fontId="1" type="noConversion"/>
  </si>
  <si>
    <t>EADream-seed0</t>
    <phoneticPr fontId="1" type="noConversion"/>
  </si>
  <si>
    <t>EADream-seed1</t>
  </si>
  <si>
    <t>EADream-seed2</t>
  </si>
  <si>
    <t>EADream-seed3</t>
  </si>
  <si>
    <t>EADream-seed4</t>
  </si>
  <si>
    <t>EADream-Average</t>
    <phoneticPr fontId="1" type="noConversion"/>
  </si>
  <si>
    <t>DreamerV3-seed0</t>
    <phoneticPr fontId="1" type="noConversion"/>
  </si>
  <si>
    <t>DreamerV3-seed1</t>
  </si>
  <si>
    <t>DreamerV3-seed2</t>
  </si>
  <si>
    <t>DreamerV3-Average</t>
    <phoneticPr fontId="1" type="noConversion"/>
  </si>
  <si>
    <t>HarmonyDream-seed0</t>
    <phoneticPr fontId="1" type="noConversion"/>
  </si>
  <si>
    <t>HarmonyDream-seed1</t>
  </si>
  <si>
    <t>HarmonyDream-seed2</t>
  </si>
  <si>
    <t>HarmonyDream-Average</t>
    <phoneticPr fontId="1" type="noConversion"/>
  </si>
  <si>
    <t>Mean(↑)</t>
    <phoneticPr fontId="1" type="noConversion"/>
  </si>
  <si>
    <t>Median(↑)</t>
    <phoneticPr fontId="1" type="noConversion"/>
  </si>
  <si>
    <t>Game</t>
    <phoneticPr fontId="1" type="noConversion"/>
  </si>
  <si>
    <t>EASimulus-seed0</t>
    <phoneticPr fontId="1" type="noConversion"/>
  </si>
  <si>
    <t>EASimulus-seed1</t>
    <phoneticPr fontId="1" type="noConversion"/>
  </si>
  <si>
    <t>EASimulus-seed2</t>
    <phoneticPr fontId="1" type="noConversion"/>
  </si>
  <si>
    <t>EASimulus-seed3</t>
    <phoneticPr fontId="1" type="noConversion"/>
  </si>
  <si>
    <t>EASimulus-seed4</t>
    <phoneticPr fontId="1" type="noConversion"/>
  </si>
  <si>
    <t>EASimulus-Average</t>
    <phoneticPr fontId="1" type="noConversion"/>
  </si>
  <si>
    <t>Simulus-seed0</t>
    <phoneticPr fontId="1" type="noConversion"/>
  </si>
  <si>
    <t>Simulus-seed1</t>
    <phoneticPr fontId="1" type="noConversion"/>
  </si>
  <si>
    <t>Simulus-seed2</t>
    <phoneticPr fontId="1" type="noConversion"/>
  </si>
  <si>
    <t>Simulus-seed3</t>
    <phoneticPr fontId="1" type="noConversion"/>
  </si>
  <si>
    <t>Simulus-seed4</t>
    <phoneticPr fontId="1" type="noConversion"/>
  </si>
  <si>
    <t>Simulus-Average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</si>
</sst>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_ "/>
    <numFmt numFmtId="178" formatCode="0.000_);[Red]\(0.000\)"/>
    <numFmt numFmtId="179" formatCode="0_ "/>
    <numFmt numFmtId="180" formatCode="0.0;\-0.0;;@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176" fontId="6" fillId="0" borderId="0" xfId="0" applyNumberFormat="1" applyFont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80" fontId="4" fillId="0" borderId="0" xfId="0" applyNumberFormat="1" applyFont="1" applyAlignment="1">
      <alignment vertical="center"/>
    </xf>
    <xf numFmtId="178" fontId="0" fillId="0" borderId="6" xfId="0" applyNumberFormat="1" applyBorder="1" applyAlignment="1">
      <alignment horizontal="center" vertical="center"/>
    </xf>
    <xf numFmtId="0" fontId="0" fillId="0" borderId="8" xfId="0" applyBorder="1"/>
    <xf numFmtId="179" fontId="0" fillId="0" borderId="9" xfId="0" applyNumberFormat="1" applyBorder="1" applyAlignment="1">
      <alignment horizontal="center" vertical="center"/>
    </xf>
    <xf numFmtId="178" fontId="0" fillId="0" borderId="3" xfId="0" applyNumberFormat="1" applyBorder="1" applyAlignment="1">
      <alignment vertical="center"/>
    </xf>
    <xf numFmtId="0" fontId="0" fillId="0" borderId="3" xfId="0" applyBorder="1"/>
    <xf numFmtId="176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178" fontId="0" fillId="0" borderId="2" xfId="0" applyNumberFormat="1" applyBorder="1" applyAlignment="1">
      <alignment vertical="center"/>
    </xf>
    <xf numFmtId="176" fontId="6" fillId="0" borderId="4" xfId="0" applyNumberFormat="1" applyFont="1" applyBorder="1" applyAlignment="1">
      <alignment horizontal="center" vertical="center"/>
    </xf>
    <xf numFmtId="0" fontId="0" fillId="0" borderId="5" xfId="0" applyBorder="1"/>
    <xf numFmtId="176" fontId="6" fillId="0" borderId="6" xfId="0" applyNumberFormat="1" applyFont="1" applyBorder="1" applyAlignment="1">
      <alignment horizontal="center" vertical="center"/>
    </xf>
    <xf numFmtId="0" fontId="0" fillId="0" borderId="7" xfId="0" applyBorder="1"/>
    <xf numFmtId="179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180" fontId="0" fillId="0" borderId="5" xfId="0" applyNumberFormat="1" applyBorder="1" applyAlignment="1">
      <alignment vertical="center"/>
    </xf>
    <xf numFmtId="0" fontId="0" fillId="0" borderId="2" xfId="0" applyBorder="1"/>
    <xf numFmtId="180" fontId="0" fillId="0" borderId="0" xfId="0" applyNumberFormat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10" fontId="3" fillId="0" borderId="11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10" fontId="0" fillId="0" borderId="13" xfId="0" applyNumberFormat="1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 wrapText="1"/>
    </xf>
    <xf numFmtId="10" fontId="0" fillId="0" borderId="15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常规" xfId="0" builtinId="0"/>
  </cellStyles>
  <dxfs count="3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tabSelected="1" topLeftCell="AH1" workbookViewId="0">
      <selection activeCell="AB1" sqref="AB1:AC1"/>
    </sheetView>
  </sheetViews>
  <sheetFormatPr defaultRowHeight="14" x14ac:dyDescent="0.3"/>
  <cols>
    <col min="1" max="1" width="15.25" customWidth="1"/>
    <col min="48" max="54" width="9.58203125" customWidth="1"/>
    <col min="55" max="55" width="11.75" customWidth="1"/>
  </cols>
  <sheetData>
    <row r="1" spans="1:55" ht="28.5" customHeight="1" x14ac:dyDescent="0.3">
      <c r="A1" s="18"/>
      <c r="B1" s="19"/>
      <c r="C1" s="20"/>
      <c r="D1" s="49" t="s">
        <v>51</v>
      </c>
      <c r="E1" s="47"/>
      <c r="F1" s="47" t="s">
        <v>52</v>
      </c>
      <c r="G1" s="47"/>
      <c r="H1" s="47" t="s">
        <v>53</v>
      </c>
      <c r="I1" s="47"/>
      <c r="J1" s="47" t="s">
        <v>54</v>
      </c>
      <c r="K1" s="47"/>
      <c r="L1" s="47" t="s">
        <v>55</v>
      </c>
      <c r="M1" s="47"/>
      <c r="N1" s="47" t="s">
        <v>56</v>
      </c>
      <c r="O1" s="48"/>
      <c r="P1" s="49" t="s">
        <v>57</v>
      </c>
      <c r="Q1" s="47"/>
      <c r="R1" s="47" t="s">
        <v>58</v>
      </c>
      <c r="S1" s="47"/>
      <c r="T1" s="47" t="s">
        <v>59</v>
      </c>
      <c r="U1" s="47"/>
      <c r="V1" s="47" t="s">
        <v>60</v>
      </c>
      <c r="W1" s="47"/>
      <c r="X1" s="47" t="s">
        <v>61</v>
      </c>
      <c r="Y1" s="47"/>
      <c r="Z1" s="47" t="s">
        <v>62</v>
      </c>
      <c r="AA1" s="48"/>
      <c r="AB1" s="50" t="s">
        <v>34</v>
      </c>
      <c r="AC1" s="51"/>
      <c r="AD1" s="51" t="s">
        <v>35</v>
      </c>
      <c r="AE1" s="51"/>
      <c r="AF1" s="51" t="s">
        <v>36</v>
      </c>
      <c r="AG1" s="51"/>
      <c r="AH1" s="51" t="s">
        <v>37</v>
      </c>
      <c r="AI1" s="51"/>
      <c r="AJ1" s="51" t="s">
        <v>38</v>
      </c>
      <c r="AK1" s="51"/>
      <c r="AL1" s="47" t="s">
        <v>39</v>
      </c>
      <c r="AM1" s="48"/>
      <c r="AN1" s="50" t="s">
        <v>40</v>
      </c>
      <c r="AO1" s="51"/>
      <c r="AP1" s="51" t="s">
        <v>41</v>
      </c>
      <c r="AQ1" s="51"/>
      <c r="AR1" s="51" t="s">
        <v>42</v>
      </c>
      <c r="AS1" s="51"/>
      <c r="AT1" s="51" t="s">
        <v>43</v>
      </c>
      <c r="AU1" s="52"/>
      <c r="AV1" s="51" t="s">
        <v>44</v>
      </c>
      <c r="AW1" s="51"/>
      <c r="AX1" s="51" t="s">
        <v>45</v>
      </c>
      <c r="AY1" s="51"/>
      <c r="AZ1" s="51" t="s">
        <v>46</v>
      </c>
      <c r="BA1" s="51"/>
      <c r="BB1" s="51" t="s">
        <v>47</v>
      </c>
      <c r="BC1" s="52"/>
    </row>
    <row r="2" spans="1:55" x14ac:dyDescent="0.3">
      <c r="A2" s="46" t="s">
        <v>50</v>
      </c>
      <c r="B2" s="3" t="s">
        <v>0</v>
      </c>
      <c r="C2" s="21" t="s">
        <v>1</v>
      </c>
      <c r="D2" s="28" t="s">
        <v>30</v>
      </c>
      <c r="E2" s="4" t="s">
        <v>29</v>
      </c>
      <c r="F2" s="4" t="s">
        <v>30</v>
      </c>
      <c r="G2" s="4" t="s">
        <v>29</v>
      </c>
      <c r="H2" s="4" t="s">
        <v>30</v>
      </c>
      <c r="I2" s="4" t="s">
        <v>29</v>
      </c>
      <c r="J2" s="4" t="s">
        <v>30</v>
      </c>
      <c r="K2" s="4" t="s">
        <v>29</v>
      </c>
      <c r="L2" s="4" t="s">
        <v>30</v>
      </c>
      <c r="M2" s="4" t="s">
        <v>29</v>
      </c>
      <c r="N2" s="4" t="s">
        <v>30</v>
      </c>
      <c r="O2" s="5" t="s">
        <v>29</v>
      </c>
      <c r="P2" s="28" t="s">
        <v>30</v>
      </c>
      <c r="Q2" s="4" t="s">
        <v>29</v>
      </c>
      <c r="R2" s="4" t="s">
        <v>30</v>
      </c>
      <c r="S2" s="4" t="s">
        <v>29</v>
      </c>
      <c r="T2" s="4" t="s">
        <v>30</v>
      </c>
      <c r="U2" s="4" t="s">
        <v>29</v>
      </c>
      <c r="V2" s="4" t="s">
        <v>30</v>
      </c>
      <c r="W2" s="4" t="s">
        <v>29</v>
      </c>
      <c r="X2" s="4" t="s">
        <v>30</v>
      </c>
      <c r="Y2" s="4" t="s">
        <v>29</v>
      </c>
      <c r="Z2" s="4" t="s">
        <v>30</v>
      </c>
      <c r="AA2" s="5" t="s">
        <v>29</v>
      </c>
      <c r="AB2" s="28" t="s">
        <v>30</v>
      </c>
      <c r="AC2" s="4" t="s">
        <v>29</v>
      </c>
      <c r="AD2" s="4" t="s">
        <v>30</v>
      </c>
      <c r="AE2" s="4" t="s">
        <v>29</v>
      </c>
      <c r="AF2" s="4" t="s">
        <v>30</v>
      </c>
      <c r="AG2" s="4" t="s">
        <v>29</v>
      </c>
      <c r="AH2" s="4" t="s">
        <v>30</v>
      </c>
      <c r="AI2" s="4" t="s">
        <v>29</v>
      </c>
      <c r="AJ2" s="4" t="s">
        <v>30</v>
      </c>
      <c r="AK2" s="4" t="s">
        <v>29</v>
      </c>
      <c r="AL2" s="4" t="s">
        <v>30</v>
      </c>
      <c r="AM2" s="5" t="s">
        <v>29</v>
      </c>
      <c r="AN2" s="28" t="s">
        <v>30</v>
      </c>
      <c r="AO2" s="4" t="s">
        <v>29</v>
      </c>
      <c r="AP2" s="4" t="s">
        <v>30</v>
      </c>
      <c r="AQ2" s="4" t="s">
        <v>29</v>
      </c>
      <c r="AR2" s="4" t="s">
        <v>30</v>
      </c>
      <c r="AS2" s="4" t="s">
        <v>29</v>
      </c>
      <c r="AT2" s="4" t="s">
        <v>30</v>
      </c>
      <c r="AU2" s="5" t="s">
        <v>29</v>
      </c>
      <c r="AV2" s="4" t="s">
        <v>30</v>
      </c>
      <c r="AW2" s="4" t="s">
        <v>29</v>
      </c>
      <c r="AX2" s="4" t="s">
        <v>30</v>
      </c>
      <c r="AY2" s="4" t="s">
        <v>29</v>
      </c>
      <c r="AZ2" s="4" t="s">
        <v>30</v>
      </c>
      <c r="BA2" s="4" t="s">
        <v>29</v>
      </c>
      <c r="BB2" s="4" t="s">
        <v>30</v>
      </c>
      <c r="BC2" s="5" t="s">
        <v>29</v>
      </c>
    </row>
    <row r="3" spans="1:55" x14ac:dyDescent="0.3">
      <c r="A3" s="40" t="s">
        <v>2</v>
      </c>
      <c r="B3" s="22">
        <v>227.8</v>
      </c>
      <c r="C3" s="23">
        <v>7127.7</v>
      </c>
      <c r="D3" s="29">
        <v>797.3</v>
      </c>
      <c r="E3" s="7">
        <f t="shared" ref="E3:M21" si="0">(D3-$B3)/($C3-$B3)</f>
        <v>8.2537428078667804E-2</v>
      </c>
      <c r="F3" s="6">
        <v>592.79999999999995</v>
      </c>
      <c r="G3" s="7">
        <f t="shared" si="0"/>
        <v>5.289931738141132E-2</v>
      </c>
      <c r="H3" s="6">
        <v>852.4</v>
      </c>
      <c r="I3" s="7">
        <f t="shared" ref="I3:M8" si="1">(H3-$B3)/($C3-$B3)</f>
        <v>9.0523051058710988E-2</v>
      </c>
      <c r="J3" s="6">
        <v>621.5</v>
      </c>
      <c r="K3" s="7">
        <f t="shared" si="1"/>
        <v>5.7058797953593532E-2</v>
      </c>
      <c r="L3" s="6">
        <v>836.2</v>
      </c>
      <c r="M3" s="7">
        <f t="shared" si="1"/>
        <v>8.8175190944796325E-2</v>
      </c>
      <c r="N3" s="8">
        <f>AVERAGE(D3,F3,H3,J3,L3)</f>
        <v>740.04</v>
      </c>
      <c r="O3" s="10">
        <f t="shared" ref="O3:O28" si="2">(N3-$B3)/($C3-$B3)</f>
        <v>7.4238757083435997E-2</v>
      </c>
      <c r="P3" s="29">
        <v>696.1</v>
      </c>
      <c r="Q3" s="7">
        <f t="shared" ref="Q3:Q28" si="3">(P3-$B3)/($C3-$B3)</f>
        <v>6.7870548848534037E-2</v>
      </c>
      <c r="R3" s="6">
        <v>747.5</v>
      </c>
      <c r="S3" s="7">
        <f t="shared" ref="S3:S28" si="4">(R3-$B3)/($C3-$B3)</f>
        <v>7.5319932172930051E-2</v>
      </c>
      <c r="T3" s="6">
        <v>635.1</v>
      </c>
      <c r="U3" s="7">
        <f>(T3-$B3)/($C3-$B3)</f>
        <v>5.902984101218859E-2</v>
      </c>
      <c r="V3" s="6">
        <v>671.9</v>
      </c>
      <c r="W3" s="7">
        <f>(V3-$B3)/($C3-$B3)</f>
        <v>6.436325164132814E-2</v>
      </c>
      <c r="X3" s="6">
        <v>708.2</v>
      </c>
      <c r="Y3" s="7">
        <f>(X3-$B3)/($C3-$B3)</f>
        <v>6.9624197452136993E-2</v>
      </c>
      <c r="Z3" s="8">
        <f t="shared" ref="Z3:Z28" si="5">AVERAGE(P3,R3,T3,V3,X3)</f>
        <v>691.76</v>
      </c>
      <c r="AA3" s="10">
        <f t="shared" ref="AA3:AA28" si="6">(Z3-$B3)/($C3-$B3)</f>
        <v>6.7241554225423564E-2</v>
      </c>
      <c r="AB3" s="37">
        <v>836.9</v>
      </c>
      <c r="AC3" s="7">
        <f t="shared" ref="AC3:AM28" si="7">(AB3-$B3)/($C3-$B3)</f>
        <v>8.8276641690459276E-2</v>
      </c>
      <c r="AD3" s="9">
        <v>674</v>
      </c>
      <c r="AE3" s="7">
        <f t="shared" si="7"/>
        <v>6.4667603878317076E-2</v>
      </c>
      <c r="AF3" s="9">
        <v>784.7</v>
      </c>
      <c r="AG3" s="7">
        <f t="shared" si="7"/>
        <v>8.0711314656734173E-2</v>
      </c>
      <c r="AH3" s="9">
        <v>818.4</v>
      </c>
      <c r="AI3" s="7">
        <f t="shared" si="7"/>
        <v>8.559544341222336E-2</v>
      </c>
      <c r="AJ3" s="9">
        <v>768.2</v>
      </c>
      <c r="AK3" s="7">
        <f t="shared" si="7"/>
        <v>7.8319975651821055E-2</v>
      </c>
      <c r="AL3" s="9">
        <f>(AB3+AD3+AF3+AH3+AJ3)/5</f>
        <v>776.44000000000017</v>
      </c>
      <c r="AM3" s="10">
        <f t="shared" si="7"/>
        <v>7.9514195857911002E-2</v>
      </c>
      <c r="AN3" s="37">
        <v>1000.5</v>
      </c>
      <c r="AO3" s="7">
        <f t="shared" ref="AO3:AQ18" si="8">(AN3-$B3)/($C3-$B3)</f>
        <v>0.11198713024826448</v>
      </c>
      <c r="AP3" s="9">
        <v>1028.4000000000001</v>
      </c>
      <c r="AQ3" s="7">
        <f t="shared" ref="AQ3:AQ5" si="9">(AP3-$B3)/($C3-$B3)</f>
        <v>0.11603066711111758</v>
      </c>
      <c r="AR3" s="9">
        <v>1045.9000000000001</v>
      </c>
      <c r="AS3" s="7">
        <f t="shared" ref="AS3:AS28" si="10">(AR3-$B3)/($C3-$B3)</f>
        <v>0.11856693575269209</v>
      </c>
      <c r="AT3" s="9">
        <f>(AN3+AP3+AR3)/3</f>
        <v>1024.9333333333334</v>
      </c>
      <c r="AU3" s="10">
        <f t="shared" ref="AU3:AU28" si="11">(AT3-$B3)/($C3-$B3)</f>
        <v>0.11552824437069138</v>
      </c>
      <c r="AV3" s="9">
        <v>1119.5</v>
      </c>
      <c r="AW3" s="7">
        <f t="shared" ref="AW3:BC25" si="12">(AV3-$B3)/($C3-$B3)</f>
        <v>0.12923375701097117</v>
      </c>
      <c r="AX3" s="9">
        <v>1295.7</v>
      </c>
      <c r="AY3" s="7">
        <f t="shared" si="12"/>
        <v>0.15477035899071004</v>
      </c>
      <c r="AZ3" s="9">
        <v>1122.8</v>
      </c>
      <c r="BA3" s="7">
        <f t="shared" si="12"/>
        <v>0.12971202481195379</v>
      </c>
      <c r="BB3" s="9">
        <f>(AV3+AX3+AZ3)/3</f>
        <v>1179.3333333333333</v>
      </c>
      <c r="BC3" s="10">
        <f t="shared" si="12"/>
        <v>0.13790538027121166</v>
      </c>
    </row>
    <row r="4" spans="1:55" x14ac:dyDescent="0.3">
      <c r="A4" s="41" t="s">
        <v>3</v>
      </c>
      <c r="B4" s="22">
        <v>5.8</v>
      </c>
      <c r="C4" s="23">
        <v>1719.5</v>
      </c>
      <c r="D4" s="29">
        <v>98.1</v>
      </c>
      <c r="E4" s="7">
        <f t="shared" si="0"/>
        <v>5.3860068856859421E-2</v>
      </c>
      <c r="F4" s="6">
        <v>177.3</v>
      </c>
      <c r="G4" s="7">
        <f t="shared" si="0"/>
        <v>0.10007585925191106</v>
      </c>
      <c r="H4" s="6">
        <v>256.39999999999998</v>
      </c>
      <c r="I4" s="7">
        <f t="shared" si="1"/>
        <v>0.14623329637626187</v>
      </c>
      <c r="J4" s="6">
        <v>110.7</v>
      </c>
      <c r="K4" s="7">
        <f t="shared" si="1"/>
        <v>6.1212580965163098E-2</v>
      </c>
      <c r="L4" s="6">
        <v>98.7</v>
      </c>
      <c r="M4" s="7">
        <f t="shared" si="1"/>
        <v>5.4210188481064368E-2</v>
      </c>
      <c r="N4" s="8">
        <f t="shared" ref="N4:N28" si="13">AVERAGE(D4,F4,H4,J4,L4)</f>
        <v>148.24</v>
      </c>
      <c r="O4" s="10">
        <f t="shared" si="2"/>
        <v>8.3118398786251962E-2</v>
      </c>
      <c r="P4" s="29">
        <v>97.2</v>
      </c>
      <c r="Q4" s="7">
        <f t="shared" si="3"/>
        <v>5.3334889420552027E-2</v>
      </c>
      <c r="R4" s="6">
        <v>75.2</v>
      </c>
      <c r="S4" s="7">
        <f t="shared" si="4"/>
        <v>4.0497169866371009E-2</v>
      </c>
      <c r="T4" s="6">
        <v>68.400000000000006</v>
      </c>
      <c r="U4" s="7">
        <f>(T4-$B4)/($C4-$B4)</f>
        <v>3.6529147458715064E-2</v>
      </c>
      <c r="V4" s="6">
        <v>145.9</v>
      </c>
      <c r="W4" s="7">
        <f>(V4-$B4)/($C4-$B4)</f>
        <v>8.1752932251852706E-2</v>
      </c>
      <c r="X4" s="6">
        <v>136.9</v>
      </c>
      <c r="Y4" s="7">
        <f>(X4-$B4)/($C4-$B4)</f>
        <v>7.6501137888778659E-2</v>
      </c>
      <c r="Z4" s="8">
        <f t="shared" si="5"/>
        <v>104.72</v>
      </c>
      <c r="AA4" s="10">
        <f t="shared" si="6"/>
        <v>5.7723055377253897E-2</v>
      </c>
      <c r="AB4" s="37">
        <v>133.09</v>
      </c>
      <c r="AC4" s="7">
        <f t="shared" si="7"/>
        <v>7.4277878275077314E-2</v>
      </c>
      <c r="AD4" s="9">
        <v>120.69</v>
      </c>
      <c r="AE4" s="7">
        <f t="shared" si="7"/>
        <v>6.704207270817529E-2</v>
      </c>
      <c r="AF4" s="9">
        <v>156.43</v>
      </c>
      <c r="AG4" s="7">
        <f t="shared" si="7"/>
        <v>8.7897531656649347E-2</v>
      </c>
      <c r="AH4" s="9">
        <v>114.72</v>
      </c>
      <c r="AI4" s="7">
        <f t="shared" si="7"/>
        <v>6.3558382447336179E-2</v>
      </c>
      <c r="AJ4" s="9">
        <v>195.99</v>
      </c>
      <c r="AK4" s="7">
        <f t="shared" si="7"/>
        <v>0.11098208554589484</v>
      </c>
      <c r="AL4" s="9">
        <f>(AB4+AD4+AF4+AH4+AJ4)/5</f>
        <v>144.18400000000003</v>
      </c>
      <c r="AM4" s="10">
        <f t="shared" si="7"/>
        <v>8.075159012662661E-2</v>
      </c>
      <c r="AN4" s="37">
        <v>122.81</v>
      </c>
      <c r="AO4" s="7">
        <f t="shared" si="8"/>
        <v>6.8279162047032743E-2</v>
      </c>
      <c r="AP4" s="9">
        <v>167.31</v>
      </c>
      <c r="AQ4" s="7">
        <f t="shared" si="9"/>
        <v>9.4246367508898865E-2</v>
      </c>
      <c r="AR4" s="9">
        <v>102.19</v>
      </c>
      <c r="AS4" s="7">
        <f t="shared" si="10"/>
        <v>5.6246717628523075E-2</v>
      </c>
      <c r="AT4" s="9">
        <f t="shared" ref="AT4:AT28" si="14">(AN4+AP4+AR4)/3</f>
        <v>130.77000000000001</v>
      </c>
      <c r="AU4" s="10">
        <f t="shared" si="11"/>
        <v>7.2924082394818235E-2</v>
      </c>
      <c r="AV4" s="9">
        <v>183.06</v>
      </c>
      <c r="AW4" s="7">
        <f t="shared" si="12"/>
        <v>0.10343700764427845</v>
      </c>
      <c r="AX4" s="9">
        <v>195.21</v>
      </c>
      <c r="AY4" s="7">
        <f t="shared" si="12"/>
        <v>0.11052693003442843</v>
      </c>
      <c r="AZ4" s="9">
        <v>120.76</v>
      </c>
      <c r="BA4" s="7">
        <f t="shared" si="12"/>
        <v>6.7082919997665871E-2</v>
      </c>
      <c r="BB4" s="9">
        <f t="shared" ref="BB4:BB28" si="15">(AV4+AX4+AZ4)/3</f>
        <v>166.34333333333333</v>
      </c>
      <c r="BC4" s="10">
        <f t="shared" si="12"/>
        <v>9.368228589212424E-2</v>
      </c>
    </row>
    <row r="5" spans="1:55" x14ac:dyDescent="0.3">
      <c r="A5" s="41" t="s">
        <v>4</v>
      </c>
      <c r="B5" s="22">
        <v>222.4</v>
      </c>
      <c r="C5" s="23">
        <v>742</v>
      </c>
      <c r="D5" s="29">
        <v>1899.3</v>
      </c>
      <c r="E5" s="7">
        <f t="shared" si="0"/>
        <v>3.2272902232486524</v>
      </c>
      <c r="F5" s="6">
        <v>2468.3000000000002</v>
      </c>
      <c r="G5" s="7">
        <f t="shared" si="0"/>
        <v>4.3223633564280215</v>
      </c>
      <c r="H5" s="6">
        <v>2031.1</v>
      </c>
      <c r="I5" s="7">
        <f t="shared" si="1"/>
        <v>3.4809468822170895</v>
      </c>
      <c r="J5" s="6">
        <v>2187.8000000000002</v>
      </c>
      <c r="K5" s="7">
        <f t="shared" si="1"/>
        <v>3.7825250192455737</v>
      </c>
      <c r="L5" s="6">
        <v>1977.2</v>
      </c>
      <c r="M5" s="7">
        <f t="shared" si="1"/>
        <v>3.3772132409545801</v>
      </c>
      <c r="N5" s="8">
        <f t="shared" si="13"/>
        <v>2112.7400000000002</v>
      </c>
      <c r="O5" s="10">
        <f t="shared" si="2"/>
        <v>3.6380677444187839</v>
      </c>
      <c r="P5" s="29">
        <v>1356.5</v>
      </c>
      <c r="Q5" s="7">
        <f t="shared" si="3"/>
        <v>2.1826404926866818</v>
      </c>
      <c r="R5" s="6">
        <v>1700.4</v>
      </c>
      <c r="S5" s="7">
        <f t="shared" si="4"/>
        <v>2.8444957659738259</v>
      </c>
      <c r="T5" s="6">
        <v>1687.9</v>
      </c>
      <c r="U5" s="7">
        <f>(T5-$B5)/($C5-$B5)</f>
        <v>2.8204387990762125</v>
      </c>
      <c r="V5" s="6">
        <v>1044.4000000000001</v>
      </c>
      <c r="W5" s="7">
        <f>(V5-$B5)/($C5-$B5)</f>
        <v>1.5819861431870672</v>
      </c>
      <c r="X5" s="6">
        <v>1854.7</v>
      </c>
      <c r="Y5" s="7">
        <f>(X5-$B5)/($C5-$B5)</f>
        <v>3.1414549653579673</v>
      </c>
      <c r="Z5" s="8">
        <f t="shared" si="5"/>
        <v>1528.7800000000002</v>
      </c>
      <c r="AA5" s="10">
        <f t="shared" si="6"/>
        <v>2.5142032332563513</v>
      </c>
      <c r="AB5" s="37">
        <v>1211.19</v>
      </c>
      <c r="AC5" s="7">
        <f>(AB5-$B5)/($C5-$B5)</f>
        <v>1.9029830638953042</v>
      </c>
      <c r="AD5" s="9">
        <v>779.25</v>
      </c>
      <c r="AE5" s="7">
        <f t="shared" si="7"/>
        <v>1.0716897613548884</v>
      </c>
      <c r="AF5" s="9">
        <v>788.7</v>
      </c>
      <c r="AG5" s="7">
        <f t="shared" si="7"/>
        <v>1.0898768283294844</v>
      </c>
      <c r="AH5" s="9">
        <v>818.89</v>
      </c>
      <c r="AI5" s="7">
        <f t="shared" si="7"/>
        <v>1.1479792147806005</v>
      </c>
      <c r="AJ5" s="9">
        <v>819.09</v>
      </c>
      <c r="AK5" s="7">
        <f t="shared" si="7"/>
        <v>1.1483641262509623</v>
      </c>
      <c r="AL5" s="9">
        <f t="shared" ref="AL5:AL21" si="16">(AB5+AD5+AF5+AH5+AJ5)/5</f>
        <v>883.42399999999998</v>
      </c>
      <c r="AM5" s="10">
        <f t="shared" si="7"/>
        <v>1.2721785989222478</v>
      </c>
      <c r="AN5" s="37">
        <v>819.56</v>
      </c>
      <c r="AO5" s="7">
        <f t="shared" si="8"/>
        <v>1.1492686682063125</v>
      </c>
      <c r="AP5" s="9">
        <v>657.95</v>
      </c>
      <c r="AQ5" s="7">
        <f t="shared" si="9"/>
        <v>0.83824095458044656</v>
      </c>
      <c r="AR5" s="9">
        <v>693.3</v>
      </c>
      <c r="AS5" s="7">
        <f t="shared" si="10"/>
        <v>0.90627405696689756</v>
      </c>
      <c r="AT5" s="9">
        <f t="shared" si="14"/>
        <v>723.60333333333335</v>
      </c>
      <c r="AU5" s="10">
        <f t="shared" si="11"/>
        <v>0.96459455991788556</v>
      </c>
      <c r="AV5" s="9">
        <v>760.41</v>
      </c>
      <c r="AW5" s="7">
        <f t="shared" si="12"/>
        <v>1.0354311008468051</v>
      </c>
      <c r="AX5" s="9">
        <v>599.19000000000005</v>
      </c>
      <c r="AY5" s="7">
        <f t="shared" si="12"/>
        <v>0.72515396458814485</v>
      </c>
      <c r="AZ5" s="9">
        <v>745.43</v>
      </c>
      <c r="BA5" s="7">
        <f t="shared" si="12"/>
        <v>1.006601231716705</v>
      </c>
      <c r="BB5" s="9">
        <f t="shared" si="15"/>
        <v>701.67666666666662</v>
      </c>
      <c r="BC5" s="10">
        <f t="shared" si="12"/>
        <v>0.92239543238388499</v>
      </c>
    </row>
    <row r="6" spans="1:55" x14ac:dyDescent="0.3">
      <c r="A6" s="41" t="s">
        <v>5</v>
      </c>
      <c r="B6" s="22">
        <v>210</v>
      </c>
      <c r="C6" s="23">
        <v>8503.2999999999993</v>
      </c>
      <c r="D6" s="29">
        <v>1261.5</v>
      </c>
      <c r="E6" s="7">
        <f t="shared" si="0"/>
        <v>0.12678909481147432</v>
      </c>
      <c r="F6" s="6">
        <v>1466.8</v>
      </c>
      <c r="G6" s="7">
        <f t="shared" si="0"/>
        <v>0.15154401745987725</v>
      </c>
      <c r="H6" s="6">
        <v>1662</v>
      </c>
      <c r="I6" s="7">
        <f t="shared" si="1"/>
        <v>0.17508108955421847</v>
      </c>
      <c r="J6" s="6">
        <v>2060.6</v>
      </c>
      <c r="K6" s="7">
        <f t="shared" si="1"/>
        <v>0.22314398369768368</v>
      </c>
      <c r="L6" s="6">
        <v>1500.5</v>
      </c>
      <c r="M6" s="7">
        <f t="shared" si="1"/>
        <v>0.15560753861550891</v>
      </c>
      <c r="N6" s="8">
        <f t="shared" si="13"/>
        <v>1590.28</v>
      </c>
      <c r="O6" s="10">
        <f t="shared" si="2"/>
        <v>0.16643314482775254</v>
      </c>
      <c r="P6" s="29">
        <v>1261.5</v>
      </c>
      <c r="Q6" s="7">
        <f t="shared" si="3"/>
        <v>0.12678909481147432</v>
      </c>
      <c r="R6" s="6">
        <v>2202.9</v>
      </c>
      <c r="S6" s="7">
        <f t="shared" si="4"/>
        <v>0.24030241279104822</v>
      </c>
      <c r="T6" s="6">
        <v>1463.9</v>
      </c>
      <c r="U6" s="7">
        <f t="shared" ref="U6:Y21" si="17">(T6-$B6)/($C6-$B6)</f>
        <v>0.15119433759781994</v>
      </c>
      <c r="V6" s="6">
        <v>894.7</v>
      </c>
      <c r="W6" s="7">
        <f t="shared" si="17"/>
        <v>8.2560621224361849E-2</v>
      </c>
      <c r="X6" s="6">
        <v>1563.5</v>
      </c>
      <c r="Y6" s="7">
        <f t="shared" si="17"/>
        <v>0.16320403217054733</v>
      </c>
      <c r="Z6" s="8">
        <f t="shared" si="5"/>
        <v>1477.3</v>
      </c>
      <c r="AA6" s="10">
        <f t="shared" si="6"/>
        <v>0.15281009971905032</v>
      </c>
      <c r="AB6" s="37">
        <v>1263</v>
      </c>
      <c r="AC6" s="7">
        <f t="shared" si="7"/>
        <v>0.12696996370564193</v>
      </c>
      <c r="AD6" s="9">
        <v>925</v>
      </c>
      <c r="AE6" s="7">
        <f t="shared" si="7"/>
        <v>8.621417288654698E-2</v>
      </c>
      <c r="AF6" s="9">
        <v>875.5</v>
      </c>
      <c r="AG6" s="7">
        <f t="shared" si="7"/>
        <v>8.0245499379016802E-2</v>
      </c>
      <c r="AH6" s="9">
        <v>944</v>
      </c>
      <c r="AI6" s="7">
        <f t="shared" si="7"/>
        <v>8.8505178879336344E-2</v>
      </c>
      <c r="AJ6" s="9">
        <v>1477</v>
      </c>
      <c r="AK6" s="7">
        <f t="shared" si="7"/>
        <v>0.15277392594021683</v>
      </c>
      <c r="AL6" s="9">
        <f t="shared" si="16"/>
        <v>1096.9000000000001</v>
      </c>
      <c r="AM6" s="10">
        <f t="shared" si="7"/>
        <v>0.10694174815815179</v>
      </c>
      <c r="AN6" s="37">
        <v>1006</v>
      </c>
      <c r="AO6" s="7">
        <f t="shared" si="8"/>
        <v>9.5981093171596352E-2</v>
      </c>
      <c r="AP6" s="9">
        <v>1028.5</v>
      </c>
      <c r="AQ6" s="7">
        <f>(AP6-$B6)/($C6-$B6)</f>
        <v>9.8694126584110073E-2</v>
      </c>
      <c r="AR6" s="9">
        <v>1038</v>
      </c>
      <c r="AS6" s="7">
        <f t="shared" si="10"/>
        <v>9.9839629580504755E-2</v>
      </c>
      <c r="AT6" s="9">
        <f t="shared" si="14"/>
        <v>1024.1666666666667</v>
      </c>
      <c r="AU6" s="10">
        <f t="shared" si="11"/>
        <v>9.8171616445403731E-2</v>
      </c>
      <c r="AV6" s="9">
        <v>1209.5</v>
      </c>
      <c r="AW6" s="7">
        <f t="shared" si="12"/>
        <v>0.12051897314699819</v>
      </c>
      <c r="AX6" s="9">
        <v>1099.5</v>
      </c>
      <c r="AY6" s="7">
        <f t="shared" si="12"/>
        <v>0.10725525424137558</v>
      </c>
      <c r="AZ6" s="9">
        <v>1471.5</v>
      </c>
      <c r="BA6" s="7">
        <f t="shared" si="12"/>
        <v>0.15211073999493568</v>
      </c>
      <c r="BB6" s="9">
        <f t="shared" si="15"/>
        <v>1260.1666666666667</v>
      </c>
      <c r="BC6" s="10">
        <f t="shared" si="12"/>
        <v>0.12662832246110317</v>
      </c>
    </row>
    <row r="7" spans="1:55" x14ac:dyDescent="0.3">
      <c r="A7" s="41" t="s">
        <v>6</v>
      </c>
      <c r="B7" s="22">
        <v>14.2</v>
      </c>
      <c r="C7" s="23">
        <v>753.1</v>
      </c>
      <c r="D7" s="29">
        <v>1156.5999999999999</v>
      </c>
      <c r="E7" s="7">
        <f t="shared" si="0"/>
        <v>1.5460820138043037</v>
      </c>
      <c r="F7" s="6">
        <v>412.4</v>
      </c>
      <c r="G7" s="7">
        <f t="shared" si="0"/>
        <v>0.5389091893354987</v>
      </c>
      <c r="H7" s="6">
        <v>347.5</v>
      </c>
      <c r="I7" s="7">
        <f t="shared" si="1"/>
        <v>0.45107592367032079</v>
      </c>
      <c r="J7" s="6">
        <v>406.7</v>
      </c>
      <c r="K7" s="7">
        <f t="shared" si="1"/>
        <v>0.53119501962376503</v>
      </c>
      <c r="L7" s="6">
        <v>301.39999999999998</v>
      </c>
      <c r="M7" s="7">
        <f t="shared" si="1"/>
        <v>0.38868588442279062</v>
      </c>
      <c r="N7" s="8">
        <f t="shared" si="13"/>
        <v>524.91999999999996</v>
      </c>
      <c r="O7" s="10">
        <f t="shared" si="2"/>
        <v>0.69118960617133574</v>
      </c>
      <c r="P7" s="29">
        <v>348.5</v>
      </c>
      <c r="Q7" s="7">
        <f t="shared" si="3"/>
        <v>0.45242928677764249</v>
      </c>
      <c r="R7" s="6">
        <v>376.5</v>
      </c>
      <c r="S7" s="7">
        <f t="shared" si="4"/>
        <v>0.49032345378264991</v>
      </c>
      <c r="T7" s="6">
        <v>291.60000000000002</v>
      </c>
      <c r="U7" s="7">
        <f t="shared" si="17"/>
        <v>0.3754229259710381</v>
      </c>
      <c r="V7" s="6">
        <v>67.099999999999994</v>
      </c>
      <c r="W7" s="7">
        <f t="shared" si="17"/>
        <v>7.1592908377317618E-2</v>
      </c>
      <c r="X7" s="6">
        <v>332</v>
      </c>
      <c r="Y7" s="7">
        <f t="shared" si="17"/>
        <v>0.4300987955068345</v>
      </c>
      <c r="Z7" s="8">
        <f t="shared" si="5"/>
        <v>283.14</v>
      </c>
      <c r="AA7" s="10">
        <f t="shared" si="6"/>
        <v>0.36397347408309649</v>
      </c>
      <c r="AB7" s="37">
        <v>554.79999999999995</v>
      </c>
      <c r="AC7" s="7">
        <f t="shared" si="7"/>
        <v>0.73162809581810795</v>
      </c>
      <c r="AD7" s="9">
        <v>403.9</v>
      </c>
      <c r="AE7" s="7">
        <f t="shared" si="7"/>
        <v>0.52740560292326433</v>
      </c>
      <c r="AF7" s="9">
        <v>1210.9000000000001</v>
      </c>
      <c r="AG7" s="7">
        <f t="shared" si="7"/>
        <v>1.6195696305318719</v>
      </c>
      <c r="AH7" s="9">
        <v>1203.4000000000001</v>
      </c>
      <c r="AI7" s="7">
        <f t="shared" si="7"/>
        <v>1.6094194072269592</v>
      </c>
      <c r="AJ7" s="9">
        <v>340.1</v>
      </c>
      <c r="AK7" s="7">
        <f t="shared" si="7"/>
        <v>0.44106103667614027</v>
      </c>
      <c r="AL7" s="9">
        <f t="shared" si="16"/>
        <v>742.62</v>
      </c>
      <c r="AM7" s="10">
        <f t="shared" si="7"/>
        <v>0.98581675463526863</v>
      </c>
      <c r="AN7" s="37">
        <v>1266.9000000000001</v>
      </c>
      <c r="AO7" s="7">
        <f t="shared" si="8"/>
        <v>1.6953579645418868</v>
      </c>
      <c r="AP7" s="9">
        <v>483.2</v>
      </c>
      <c r="AQ7" s="7">
        <f>(AP7-$B7)/($C7-$B7)</f>
        <v>0.63472729733387467</v>
      </c>
      <c r="AR7" s="9">
        <v>1306.7</v>
      </c>
      <c r="AS7" s="7">
        <f t="shared" si="10"/>
        <v>1.74922181621329</v>
      </c>
      <c r="AT7" s="9">
        <f t="shared" si="14"/>
        <v>1018.9333333333334</v>
      </c>
      <c r="AU7" s="10">
        <f t="shared" si="11"/>
        <v>1.3597690260296837</v>
      </c>
      <c r="AV7" s="9">
        <v>407.6</v>
      </c>
      <c r="AW7" s="7">
        <f t="shared" si="12"/>
        <v>0.5324130464203547</v>
      </c>
      <c r="AX7" s="9">
        <v>1169.8</v>
      </c>
      <c r="AY7" s="7">
        <f t="shared" si="12"/>
        <v>1.5639464068209501</v>
      </c>
      <c r="AZ7" s="9">
        <v>304</v>
      </c>
      <c r="BA7" s="7">
        <f t="shared" si="12"/>
        <v>0.39220462850182708</v>
      </c>
      <c r="BB7" s="9">
        <f t="shared" si="15"/>
        <v>627.13333333333333</v>
      </c>
      <c r="BC7" s="10">
        <f t="shared" si="12"/>
        <v>0.82952136058104387</v>
      </c>
    </row>
    <row r="8" spans="1:55" x14ac:dyDescent="0.3">
      <c r="A8" s="41" t="s">
        <v>7</v>
      </c>
      <c r="B8" s="22">
        <v>2360</v>
      </c>
      <c r="C8" s="23">
        <v>37187.5</v>
      </c>
      <c r="D8" s="29">
        <v>18903.8</v>
      </c>
      <c r="E8" s="7">
        <f t="shared" si="0"/>
        <v>0.47502117579498959</v>
      </c>
      <c r="F8" s="6">
        <v>14144.2</v>
      </c>
      <c r="G8" s="7">
        <f t="shared" si="0"/>
        <v>0.33835905534419641</v>
      </c>
      <c r="H8" s="6">
        <v>9759.6</v>
      </c>
      <c r="I8" s="7">
        <f t="shared" si="1"/>
        <v>0.21246428827794128</v>
      </c>
      <c r="J8" s="6">
        <v>8461.5</v>
      </c>
      <c r="K8" s="7">
        <f t="shared" si="1"/>
        <v>0.17519201780202426</v>
      </c>
      <c r="L8" s="6">
        <v>20471.2</v>
      </c>
      <c r="M8" s="7">
        <f t="shared" si="1"/>
        <v>0.52002584164812293</v>
      </c>
      <c r="N8" s="8">
        <f t="shared" si="13"/>
        <v>14348.060000000001</v>
      </c>
      <c r="O8" s="10">
        <f t="shared" si="2"/>
        <v>0.34421247577345493</v>
      </c>
      <c r="P8" s="29">
        <v>1490.4</v>
      </c>
      <c r="Q8" s="7">
        <f t="shared" si="3"/>
        <v>-2.4968774675184838E-2</v>
      </c>
      <c r="R8" s="6">
        <v>9903.7999999999993</v>
      </c>
      <c r="S8" s="7">
        <f t="shared" si="4"/>
        <v>0.21660469456607565</v>
      </c>
      <c r="T8" s="6">
        <v>15000</v>
      </c>
      <c r="U8" s="7">
        <f t="shared" si="17"/>
        <v>0.36293159141483022</v>
      </c>
      <c r="V8" s="6">
        <v>10692.3</v>
      </c>
      <c r="W8" s="7">
        <f t="shared" si="17"/>
        <v>0.23924484961596437</v>
      </c>
      <c r="X8" s="6">
        <v>13625</v>
      </c>
      <c r="Y8" s="7">
        <f t="shared" si="17"/>
        <v>0.32345129567152392</v>
      </c>
      <c r="Z8" s="8">
        <f t="shared" si="5"/>
        <v>10142.299999999999</v>
      </c>
      <c r="AA8" s="10">
        <f t="shared" si="6"/>
        <v>0.22345273131864185</v>
      </c>
      <c r="AB8" s="37">
        <v>13680</v>
      </c>
      <c r="AC8" s="7">
        <f t="shared" si="7"/>
        <v>0.32503050750125617</v>
      </c>
      <c r="AD8" s="9">
        <v>11390</v>
      </c>
      <c r="AE8" s="7">
        <f t="shared" si="7"/>
        <v>0.25927786949967696</v>
      </c>
      <c r="AF8" s="9">
        <v>17960</v>
      </c>
      <c r="AG8" s="7">
        <f t="shared" si="7"/>
        <v>0.44792190079678418</v>
      </c>
      <c r="AH8" s="9">
        <v>14830</v>
      </c>
      <c r="AI8" s="7">
        <f t="shared" si="7"/>
        <v>0.35805039121383964</v>
      </c>
      <c r="AJ8" s="9">
        <v>9000</v>
      </c>
      <c r="AK8" s="7">
        <f t="shared" si="7"/>
        <v>0.19065393726222093</v>
      </c>
      <c r="AL8" s="9">
        <f t="shared" si="16"/>
        <v>13372</v>
      </c>
      <c r="AM8" s="10">
        <f t="shared" si="7"/>
        <v>0.31618692125475556</v>
      </c>
      <c r="AN8" s="37">
        <v>10670</v>
      </c>
      <c r="AO8" s="7">
        <f t="shared" si="8"/>
        <v>0.23860455100136385</v>
      </c>
      <c r="AP8" s="9">
        <v>11940</v>
      </c>
      <c r="AQ8" s="7">
        <f>(AP8-$B8)/($C8-$B8)</f>
        <v>0.27506998779699948</v>
      </c>
      <c r="AR8" s="9">
        <v>11130</v>
      </c>
      <c r="AS8" s="7">
        <f t="shared" si="10"/>
        <v>0.25181250448639725</v>
      </c>
      <c r="AT8" s="9">
        <f t="shared" si="14"/>
        <v>11246.666666666666</v>
      </c>
      <c r="AU8" s="10">
        <f t="shared" si="11"/>
        <v>0.25516234776158686</v>
      </c>
      <c r="AV8" s="9">
        <v>10840</v>
      </c>
      <c r="AW8" s="7">
        <f t="shared" si="12"/>
        <v>0.24348575120235447</v>
      </c>
      <c r="AX8" s="9">
        <v>11830</v>
      </c>
      <c r="AY8" s="7">
        <f t="shared" si="12"/>
        <v>0.27191156413753498</v>
      </c>
      <c r="AZ8" s="9">
        <v>12020</v>
      </c>
      <c r="BA8" s="7">
        <f t="shared" si="12"/>
        <v>0.27736702318570094</v>
      </c>
      <c r="BB8" s="9">
        <f t="shared" si="15"/>
        <v>11563.333333333334</v>
      </c>
      <c r="BC8" s="10">
        <f t="shared" si="12"/>
        <v>0.26425477950853016</v>
      </c>
    </row>
    <row r="9" spans="1:55" x14ac:dyDescent="0.3">
      <c r="A9" s="40" t="s">
        <v>8</v>
      </c>
      <c r="B9" s="22">
        <v>0.1</v>
      </c>
      <c r="C9" s="23">
        <v>12.1</v>
      </c>
      <c r="D9" s="29">
        <v>91.5</v>
      </c>
      <c r="E9" s="7">
        <f t="shared" si="0"/>
        <v>7.6166666666666671</v>
      </c>
      <c r="F9" s="6">
        <v>85.7</v>
      </c>
      <c r="G9" s="7">
        <f t="shared" si="0"/>
        <v>7.1333333333333337</v>
      </c>
      <c r="H9" s="6">
        <v>81</v>
      </c>
      <c r="I9" s="7">
        <f t="shared" si="0"/>
        <v>6.7416666666666671</v>
      </c>
      <c r="J9" s="6">
        <v>94</v>
      </c>
      <c r="K9" s="7">
        <f t="shared" si="0"/>
        <v>7.8250000000000002</v>
      </c>
      <c r="L9" s="6">
        <v>84.9</v>
      </c>
      <c r="M9" s="7">
        <f t="shared" si="0"/>
        <v>7.0666666666666673</v>
      </c>
      <c r="N9" s="8">
        <f t="shared" si="13"/>
        <v>87.42</v>
      </c>
      <c r="O9" s="10">
        <f t="shared" si="2"/>
        <v>7.2766666666666673</v>
      </c>
      <c r="P9" s="29">
        <v>90.7</v>
      </c>
      <c r="Q9" s="7">
        <f t="shared" si="3"/>
        <v>7.5500000000000007</v>
      </c>
      <c r="R9" s="6">
        <v>91.6</v>
      </c>
      <c r="S9" s="7">
        <f t="shared" si="4"/>
        <v>7.625</v>
      </c>
      <c r="T9" s="6">
        <v>90.8</v>
      </c>
      <c r="U9" s="7">
        <f t="shared" si="17"/>
        <v>7.5583333333333336</v>
      </c>
      <c r="V9" s="6">
        <v>89.5</v>
      </c>
      <c r="W9" s="7">
        <f t="shared" si="17"/>
        <v>7.45</v>
      </c>
      <c r="X9" s="6">
        <v>93.6</v>
      </c>
      <c r="Y9" s="7">
        <f>(X9-$B9)/($C9-$B9)</f>
        <v>7.791666666666667</v>
      </c>
      <c r="Z9" s="8">
        <f t="shared" si="5"/>
        <v>91.240000000000009</v>
      </c>
      <c r="AA9" s="10">
        <f t="shared" si="6"/>
        <v>7.5950000000000015</v>
      </c>
      <c r="AB9" s="37">
        <v>93.73</v>
      </c>
      <c r="AC9" s="7">
        <f t="shared" si="7"/>
        <v>7.8025000000000011</v>
      </c>
      <c r="AD9" s="9">
        <v>96.79</v>
      </c>
      <c r="AE9" s="7">
        <f t="shared" si="7"/>
        <v>8.057500000000001</v>
      </c>
      <c r="AF9" s="9">
        <v>82.68</v>
      </c>
      <c r="AG9" s="7">
        <f t="shared" si="7"/>
        <v>6.8816666666666677</v>
      </c>
      <c r="AH9" s="9">
        <v>79.489999999999995</v>
      </c>
      <c r="AI9" s="7">
        <f t="shared" si="7"/>
        <v>6.6158333333333337</v>
      </c>
      <c r="AJ9" s="9">
        <v>74.36</v>
      </c>
      <c r="AK9" s="7">
        <f t="shared" si="7"/>
        <v>6.1883333333333335</v>
      </c>
      <c r="AL9" s="9">
        <f t="shared" si="16"/>
        <v>85.410000000000011</v>
      </c>
      <c r="AM9" s="10">
        <f t="shared" si="7"/>
        <v>7.1091666666666677</v>
      </c>
      <c r="AN9" s="37">
        <v>78.819999999999993</v>
      </c>
      <c r="AO9" s="7">
        <f t="shared" si="8"/>
        <v>6.56</v>
      </c>
      <c r="AP9" s="9">
        <v>89.38</v>
      </c>
      <c r="AQ9" s="7">
        <f t="shared" si="8"/>
        <v>7.44</v>
      </c>
      <c r="AR9" s="9">
        <v>86.33</v>
      </c>
      <c r="AS9" s="7">
        <f t="shared" si="10"/>
        <v>7.185833333333334</v>
      </c>
      <c r="AT9" s="9">
        <f t="shared" si="14"/>
        <v>84.84333333333332</v>
      </c>
      <c r="AU9" s="10">
        <f t="shared" si="11"/>
        <v>7.0619444444444435</v>
      </c>
      <c r="AV9" s="9">
        <v>86.58</v>
      </c>
      <c r="AW9" s="7">
        <f t="shared" si="12"/>
        <v>7.206666666666667</v>
      </c>
      <c r="AX9" s="9">
        <v>86.73</v>
      </c>
      <c r="AY9" s="7">
        <f t="shared" si="12"/>
        <v>7.2191666666666672</v>
      </c>
      <c r="AZ9" s="9">
        <v>84.83</v>
      </c>
      <c r="BA9" s="7">
        <f t="shared" si="12"/>
        <v>7.060833333333334</v>
      </c>
      <c r="BB9" s="9">
        <f t="shared" si="15"/>
        <v>86.046666666666667</v>
      </c>
      <c r="BC9" s="10">
        <f t="shared" si="12"/>
        <v>7.1622222222222227</v>
      </c>
    </row>
    <row r="10" spans="1:55" x14ac:dyDescent="0.3">
      <c r="A10" s="41" t="s">
        <v>9</v>
      </c>
      <c r="B10" s="22">
        <v>1.7</v>
      </c>
      <c r="C10" s="23">
        <v>30.5</v>
      </c>
      <c r="D10" s="29">
        <v>207.8</v>
      </c>
      <c r="E10" s="7">
        <f t="shared" si="0"/>
        <v>7.1562500000000009</v>
      </c>
      <c r="F10" s="6">
        <v>270.3</v>
      </c>
      <c r="G10" s="7">
        <f t="shared" si="0"/>
        <v>9.3263888888888893</v>
      </c>
      <c r="H10" s="6">
        <v>348.4</v>
      </c>
      <c r="I10" s="7">
        <f t="shared" si="0"/>
        <v>12.038194444444443</v>
      </c>
      <c r="J10" s="6">
        <v>175.5</v>
      </c>
      <c r="K10" s="7">
        <f t="shared" si="0"/>
        <v>6.0347222222222223</v>
      </c>
      <c r="L10" s="6">
        <v>180.7</v>
      </c>
      <c r="M10" s="7">
        <f t="shared" si="0"/>
        <v>6.2152777777777777</v>
      </c>
      <c r="N10" s="8">
        <f t="shared" si="13"/>
        <v>236.54000000000002</v>
      </c>
      <c r="O10" s="10">
        <f t="shared" si="2"/>
        <v>8.1541666666666668</v>
      </c>
      <c r="P10" s="29">
        <v>136.69999999999999</v>
      </c>
      <c r="Q10" s="7">
        <f t="shared" si="3"/>
        <v>4.6875</v>
      </c>
      <c r="R10" s="6">
        <v>253.8</v>
      </c>
      <c r="S10" s="7">
        <f t="shared" si="4"/>
        <v>8.7534722222222232</v>
      </c>
      <c r="T10" s="6">
        <v>153.30000000000001</v>
      </c>
      <c r="U10" s="7">
        <f t="shared" si="17"/>
        <v>5.2638888888888893</v>
      </c>
      <c r="V10" s="6">
        <v>134.9</v>
      </c>
      <c r="W10" s="7">
        <f t="shared" si="17"/>
        <v>4.6250000000000009</v>
      </c>
      <c r="X10" s="6">
        <v>88.4</v>
      </c>
      <c r="Y10" s="7">
        <f>(X10-$B10)/($C10-$B10)</f>
        <v>3.0104166666666665</v>
      </c>
      <c r="Z10" s="8">
        <f t="shared" si="5"/>
        <v>153.41999999999999</v>
      </c>
      <c r="AA10" s="10">
        <f t="shared" si="6"/>
        <v>5.2680555555555557</v>
      </c>
      <c r="AB10" s="37">
        <v>73.06</v>
      </c>
      <c r="AC10" s="7">
        <f t="shared" si="7"/>
        <v>2.4777777777777779</v>
      </c>
      <c r="AD10" s="9">
        <v>68.680000000000007</v>
      </c>
      <c r="AE10" s="7">
        <f t="shared" si="7"/>
        <v>2.3256944444444447</v>
      </c>
      <c r="AF10" s="9">
        <v>63.58</v>
      </c>
      <c r="AG10" s="7">
        <f t="shared" si="7"/>
        <v>2.1486111111111108</v>
      </c>
      <c r="AH10" s="9">
        <v>72.680000000000007</v>
      </c>
      <c r="AI10" s="7">
        <f t="shared" si="7"/>
        <v>2.4645833333333336</v>
      </c>
      <c r="AJ10" s="9">
        <v>81.069999999999993</v>
      </c>
      <c r="AK10" s="7">
        <f t="shared" si="7"/>
        <v>2.7559027777777776</v>
      </c>
      <c r="AL10" s="9">
        <f t="shared" si="16"/>
        <v>71.813999999999993</v>
      </c>
      <c r="AM10" s="10">
        <f t="shared" si="7"/>
        <v>2.4345138888888886</v>
      </c>
      <c r="AN10" s="37">
        <v>22.14</v>
      </c>
      <c r="AO10" s="7">
        <f t="shared" si="8"/>
        <v>0.70972222222222225</v>
      </c>
      <c r="AP10" s="9">
        <v>19.55</v>
      </c>
      <c r="AQ10" s="7">
        <f t="shared" si="8"/>
        <v>0.61979166666666674</v>
      </c>
      <c r="AR10" s="9">
        <v>38.89</v>
      </c>
      <c r="AS10" s="7">
        <f t="shared" si="10"/>
        <v>1.2913194444444442</v>
      </c>
      <c r="AT10" s="9">
        <f t="shared" si="14"/>
        <v>26.86</v>
      </c>
      <c r="AU10" s="10">
        <f t="shared" si="11"/>
        <v>0.87361111111111112</v>
      </c>
      <c r="AV10" s="9">
        <v>24.61</v>
      </c>
      <c r="AW10" s="7">
        <f t="shared" si="12"/>
        <v>0.79548611111111112</v>
      </c>
      <c r="AX10" s="9">
        <v>35.86</v>
      </c>
      <c r="AY10" s="7">
        <f t="shared" si="12"/>
        <v>1.1861111111111109</v>
      </c>
      <c r="AZ10" s="9">
        <v>44.17</v>
      </c>
      <c r="BA10" s="7">
        <f t="shared" si="12"/>
        <v>1.4746527777777778</v>
      </c>
      <c r="BB10" s="9">
        <f t="shared" si="15"/>
        <v>34.880000000000003</v>
      </c>
      <c r="BC10" s="10">
        <f t="shared" si="12"/>
        <v>1.1520833333333333</v>
      </c>
    </row>
    <row r="11" spans="1:55" x14ac:dyDescent="0.3">
      <c r="A11" s="42" t="s">
        <v>10</v>
      </c>
      <c r="B11" s="22">
        <v>811</v>
      </c>
      <c r="C11" s="23">
        <v>7387.8</v>
      </c>
      <c r="D11" s="29">
        <v>3390.4</v>
      </c>
      <c r="E11" s="7">
        <f t="shared" si="0"/>
        <v>0.39219681303977616</v>
      </c>
      <c r="F11" s="6">
        <v>3704.8</v>
      </c>
      <c r="G11" s="7">
        <f t="shared" si="0"/>
        <v>0.44000121639703199</v>
      </c>
      <c r="H11" s="6">
        <v>2670.2</v>
      </c>
      <c r="I11" s="7">
        <f t="shared" si="0"/>
        <v>0.28269067023476457</v>
      </c>
      <c r="J11" s="6">
        <v>3237.5</v>
      </c>
      <c r="K11" s="7">
        <f t="shared" si="0"/>
        <v>0.36894842476584355</v>
      </c>
      <c r="L11" s="6">
        <v>4228.8</v>
      </c>
      <c r="M11" s="7">
        <f t="shared" si="0"/>
        <v>0.5196752219924583</v>
      </c>
      <c r="N11" s="8">
        <f t="shared" si="13"/>
        <v>3446.34</v>
      </c>
      <c r="O11" s="10">
        <f t="shared" si="2"/>
        <v>0.40070246928597497</v>
      </c>
      <c r="P11" s="29">
        <v>4297.1000000000004</v>
      </c>
      <c r="Q11" s="7">
        <f t="shared" si="3"/>
        <v>0.53006021165308359</v>
      </c>
      <c r="R11" s="6">
        <v>8819.2000000000007</v>
      </c>
      <c r="S11" s="7">
        <f t="shared" si="4"/>
        <v>1.2176438389490329</v>
      </c>
      <c r="T11" s="6">
        <v>1403.8</v>
      </c>
      <c r="U11" s="7">
        <f t="shared" si="17"/>
        <v>9.013502007055102E-2</v>
      </c>
      <c r="V11" s="6">
        <v>3617.3</v>
      </c>
      <c r="W11" s="7">
        <f t="shared" si="17"/>
        <v>0.42669687385962779</v>
      </c>
      <c r="X11" s="6">
        <v>4830.8</v>
      </c>
      <c r="Y11" s="7">
        <f>(X11-$B11)/($C11-$B11)</f>
        <v>0.61120909864979933</v>
      </c>
      <c r="Z11" s="8">
        <f t="shared" si="5"/>
        <v>4593.6400000000003</v>
      </c>
      <c r="AA11" s="10">
        <f t="shared" si="6"/>
        <v>0.57514900863641893</v>
      </c>
      <c r="AB11" s="37">
        <v>912</v>
      </c>
      <c r="AC11" s="7">
        <f t="shared" si="7"/>
        <v>1.5357012528889429E-2</v>
      </c>
      <c r="AD11" s="9">
        <v>946</v>
      </c>
      <c r="AE11" s="7">
        <f t="shared" si="7"/>
        <v>2.0526699914852207E-2</v>
      </c>
      <c r="AF11" s="9">
        <v>868</v>
      </c>
      <c r="AG11" s="7">
        <f t="shared" si="7"/>
        <v>8.6668288529375987E-3</v>
      </c>
      <c r="AH11" s="9">
        <v>899</v>
      </c>
      <c r="AI11" s="7">
        <f t="shared" si="7"/>
        <v>1.3380367351903661E-2</v>
      </c>
      <c r="AJ11" s="9">
        <v>895</v>
      </c>
      <c r="AK11" s="7">
        <f t="shared" si="7"/>
        <v>1.2772168835908039E-2</v>
      </c>
      <c r="AL11" s="9">
        <f t="shared" si="16"/>
        <v>904</v>
      </c>
      <c r="AM11" s="10">
        <f t="shared" si="7"/>
        <v>1.4140615496898188E-2</v>
      </c>
      <c r="AN11" s="37">
        <v>432</v>
      </c>
      <c r="AO11" s="7">
        <f t="shared" si="8"/>
        <v>-5.7626809390585086E-2</v>
      </c>
      <c r="AP11" s="9">
        <v>869</v>
      </c>
      <c r="AQ11" s="7">
        <f t="shared" si="8"/>
        <v>8.8188784819365033E-3</v>
      </c>
      <c r="AR11" s="9">
        <v>828</v>
      </c>
      <c r="AS11" s="7">
        <f t="shared" si="10"/>
        <v>2.5848436929813891E-3</v>
      </c>
      <c r="AT11" s="9">
        <f t="shared" si="14"/>
        <v>709.66666666666663</v>
      </c>
      <c r="AU11" s="10">
        <f t="shared" si="11"/>
        <v>-1.5407695738555736E-2</v>
      </c>
      <c r="AV11" s="9">
        <v>657</v>
      </c>
      <c r="AW11" s="7">
        <f t="shared" si="12"/>
        <v>-2.3415642865831407E-2</v>
      </c>
      <c r="AX11" s="9">
        <v>846</v>
      </c>
      <c r="AY11" s="7">
        <f t="shared" si="12"/>
        <v>5.3217370149616829E-3</v>
      </c>
      <c r="AZ11" s="9">
        <v>378</v>
      </c>
      <c r="BA11" s="7">
        <f t="shared" si="12"/>
        <v>-6.5837489356525974E-2</v>
      </c>
      <c r="BB11" s="9">
        <f t="shared" si="15"/>
        <v>627</v>
      </c>
      <c r="BC11" s="10">
        <f t="shared" si="12"/>
        <v>-2.7977131735798563E-2</v>
      </c>
    </row>
    <row r="12" spans="1:55" x14ac:dyDescent="0.3">
      <c r="A12" s="41" t="s">
        <v>11</v>
      </c>
      <c r="B12" s="22">
        <v>10780.5</v>
      </c>
      <c r="C12" s="23">
        <v>35829.4</v>
      </c>
      <c r="D12" s="29">
        <v>83693.3</v>
      </c>
      <c r="E12" s="7">
        <f t="shared" si="0"/>
        <v>2.9108184391330556</v>
      </c>
      <c r="F12" s="6">
        <v>76397.100000000006</v>
      </c>
      <c r="G12" s="7">
        <f t="shared" si="0"/>
        <v>2.6195401794090758</v>
      </c>
      <c r="H12" s="6">
        <v>69545.2</v>
      </c>
      <c r="I12" s="7">
        <f t="shared" si="0"/>
        <v>2.3459992255148925</v>
      </c>
      <c r="J12" s="6">
        <v>86522.1</v>
      </c>
      <c r="K12" s="7">
        <f t="shared" si="0"/>
        <v>3.0237495458882426</v>
      </c>
      <c r="L12" s="6">
        <v>80214.399999999994</v>
      </c>
      <c r="M12" s="7">
        <f t="shared" si="0"/>
        <v>2.7719340969064508</v>
      </c>
      <c r="N12" s="8">
        <f t="shared" si="13"/>
        <v>79274.420000000013</v>
      </c>
      <c r="O12" s="10">
        <f t="shared" si="2"/>
        <v>2.7344082973703441</v>
      </c>
      <c r="P12" s="29">
        <v>85933.7</v>
      </c>
      <c r="Q12" s="7">
        <f t="shared" si="3"/>
        <v>3.000259492432801</v>
      </c>
      <c r="R12" s="6">
        <v>74040.399999999994</v>
      </c>
      <c r="S12" s="7">
        <f t="shared" si="4"/>
        <v>2.5254562076578209</v>
      </c>
      <c r="T12" s="6">
        <v>63462.5</v>
      </c>
      <c r="U12" s="7">
        <f t="shared" si="17"/>
        <v>2.1031662068993047</v>
      </c>
      <c r="V12" s="6">
        <v>77128.800000000003</v>
      </c>
      <c r="W12" s="7">
        <f t="shared" si="17"/>
        <v>2.6487510429599701</v>
      </c>
      <c r="X12" s="6">
        <v>86716.3</v>
      </c>
      <c r="Y12" s="7">
        <f t="shared" ref="Y12:Y28" si="18">(X12-$B12)/($C12-$B12)</f>
        <v>3.0315023813420949</v>
      </c>
      <c r="Z12" s="8">
        <f t="shared" si="5"/>
        <v>77456.34</v>
      </c>
      <c r="AA12" s="10">
        <f t="shared" si="6"/>
        <v>2.6618270662583985</v>
      </c>
      <c r="AB12" s="37">
        <v>81024</v>
      </c>
      <c r="AC12" s="7">
        <f t="shared" si="7"/>
        <v>2.8042548774596887</v>
      </c>
      <c r="AD12" s="9">
        <v>99834</v>
      </c>
      <c r="AE12" s="7">
        <f t="shared" si="7"/>
        <v>3.5551860560743185</v>
      </c>
      <c r="AF12" s="9">
        <v>90173</v>
      </c>
      <c r="AG12" s="7">
        <f t="shared" si="7"/>
        <v>3.1695004571059009</v>
      </c>
      <c r="AH12" s="9">
        <v>83750</v>
      </c>
      <c r="AI12" s="7">
        <f t="shared" si="7"/>
        <v>2.9130820115853391</v>
      </c>
      <c r="AJ12" s="9">
        <v>90412</v>
      </c>
      <c r="AK12" s="7">
        <f t="shared" si="7"/>
        <v>3.1790417942504461</v>
      </c>
      <c r="AL12" s="9">
        <f t="shared" si="16"/>
        <v>89038.6</v>
      </c>
      <c r="AM12" s="10">
        <f t="shared" si="7"/>
        <v>3.1242130392951388</v>
      </c>
      <c r="AN12" s="37">
        <v>74075</v>
      </c>
      <c r="AO12" s="7">
        <f t="shared" si="8"/>
        <v>2.5268375058385795</v>
      </c>
      <c r="AP12" s="9">
        <v>98337</v>
      </c>
      <c r="AQ12" s="7">
        <f t="shared" si="8"/>
        <v>3.49542295270451</v>
      </c>
      <c r="AR12" s="9">
        <v>71832</v>
      </c>
      <c r="AS12" s="7">
        <f t="shared" si="10"/>
        <v>2.4372926555657135</v>
      </c>
      <c r="AT12" s="9">
        <f t="shared" si="14"/>
        <v>81414.666666666672</v>
      </c>
      <c r="AU12" s="10">
        <f t="shared" si="11"/>
        <v>2.8198510380362678</v>
      </c>
      <c r="AV12" s="9">
        <v>86081</v>
      </c>
      <c r="AW12" s="7">
        <f t="shared" si="12"/>
        <v>3.0061399901792094</v>
      </c>
      <c r="AX12" s="9">
        <v>16948</v>
      </c>
      <c r="AY12" s="7">
        <f t="shared" si="12"/>
        <v>0.24621839681582822</v>
      </c>
      <c r="AZ12" s="9">
        <v>61033</v>
      </c>
      <c r="BA12" s="7">
        <f t="shared" si="12"/>
        <v>2.0061759199006741</v>
      </c>
      <c r="BB12" s="9">
        <f t="shared" si="15"/>
        <v>54687.333333333336</v>
      </c>
      <c r="BC12" s="10">
        <f t="shared" si="12"/>
        <v>1.7528447689652373</v>
      </c>
    </row>
    <row r="13" spans="1:55" x14ac:dyDescent="0.3">
      <c r="A13" s="41" t="s">
        <v>12</v>
      </c>
      <c r="B13" s="22">
        <v>152.1</v>
      </c>
      <c r="C13" s="23">
        <v>1971</v>
      </c>
      <c r="D13" s="29">
        <v>4598.3</v>
      </c>
      <c r="E13" s="7">
        <f t="shared" si="0"/>
        <v>2.4444444444444442</v>
      </c>
      <c r="F13" s="6">
        <v>5626.9</v>
      </c>
      <c r="G13" s="7">
        <f t="shared" si="0"/>
        <v>3.0099510693276152</v>
      </c>
      <c r="H13" s="6">
        <v>7550</v>
      </c>
      <c r="I13" s="7">
        <f t="shared" si="0"/>
        <v>4.0672384408158777</v>
      </c>
      <c r="J13" s="6">
        <v>2188.6999999999998</v>
      </c>
      <c r="K13" s="7">
        <f t="shared" si="0"/>
        <v>1.119687723349277</v>
      </c>
      <c r="L13" s="6">
        <v>5445.4</v>
      </c>
      <c r="M13" s="7">
        <f t="shared" si="0"/>
        <v>2.9101654846335694</v>
      </c>
      <c r="N13" s="8">
        <f t="shared" si="13"/>
        <v>5081.8600000000006</v>
      </c>
      <c r="O13" s="10">
        <f t="shared" si="2"/>
        <v>2.7102974325141571</v>
      </c>
      <c r="P13" s="29">
        <v>4033</v>
      </c>
      <c r="Q13" s="7">
        <f t="shared" si="3"/>
        <v>2.1336522073780855</v>
      </c>
      <c r="R13" s="6">
        <v>6643.2</v>
      </c>
      <c r="S13" s="7">
        <f t="shared" si="4"/>
        <v>3.5686953653306941</v>
      </c>
      <c r="T13" s="6">
        <v>6781.8</v>
      </c>
      <c r="U13" s="7">
        <f t="shared" si="17"/>
        <v>3.6448952663697836</v>
      </c>
      <c r="V13" s="6">
        <v>1130.8</v>
      </c>
      <c r="W13" s="7">
        <f t="shared" si="17"/>
        <v>0.53807246137775577</v>
      </c>
      <c r="X13" s="6">
        <v>6640.6</v>
      </c>
      <c r="Y13" s="7">
        <f t="shared" si="18"/>
        <v>3.5672659299576663</v>
      </c>
      <c r="Z13" s="8">
        <f t="shared" si="5"/>
        <v>5045.88</v>
      </c>
      <c r="AA13" s="10">
        <f t="shared" si="6"/>
        <v>2.6905162460827969</v>
      </c>
      <c r="AB13" s="37">
        <v>115</v>
      </c>
      <c r="AC13" s="7">
        <f t="shared" si="7"/>
        <v>-2.0396943207433061E-2</v>
      </c>
      <c r="AD13" s="9">
        <v>214.65</v>
      </c>
      <c r="AE13" s="7">
        <f t="shared" si="7"/>
        <v>3.4388916378030682E-2</v>
      </c>
      <c r="AF13" s="9">
        <v>144.05000000000001</v>
      </c>
      <c r="AG13" s="7">
        <f t="shared" si="7"/>
        <v>-4.4257518280279191E-3</v>
      </c>
      <c r="AH13" s="9">
        <v>100.1</v>
      </c>
      <c r="AI13" s="7">
        <f t="shared" si="7"/>
        <v>-2.858870746055308E-2</v>
      </c>
      <c r="AJ13" s="9">
        <v>187.35</v>
      </c>
      <c r="AK13" s="7">
        <f t="shared" si="7"/>
        <v>1.937984496124031E-2</v>
      </c>
      <c r="AL13" s="9">
        <f t="shared" si="16"/>
        <v>152.22999999999999</v>
      </c>
      <c r="AM13" s="10">
        <f t="shared" si="7"/>
        <v>7.1471768651380196E-5</v>
      </c>
      <c r="AN13" s="37">
        <v>225.85</v>
      </c>
      <c r="AO13" s="7">
        <f t="shared" si="8"/>
        <v>4.0546484138765188E-2</v>
      </c>
      <c r="AP13" s="9">
        <v>225</v>
      </c>
      <c r="AQ13" s="7">
        <f t="shared" si="8"/>
        <v>4.00791687283523E-2</v>
      </c>
      <c r="AR13" s="9">
        <v>228.55</v>
      </c>
      <c r="AS13" s="7">
        <f t="shared" si="10"/>
        <v>4.2030897795370836E-2</v>
      </c>
      <c r="AT13" s="9">
        <f t="shared" si="14"/>
        <v>226.4666666666667</v>
      </c>
      <c r="AU13" s="10">
        <f t="shared" si="11"/>
        <v>4.0885516887496122E-2</v>
      </c>
      <c r="AV13" s="9">
        <v>245.95</v>
      </c>
      <c r="AW13" s="7">
        <f t="shared" si="12"/>
        <v>5.159711913794051E-2</v>
      </c>
      <c r="AX13" s="9">
        <v>290.95</v>
      </c>
      <c r="AY13" s="7">
        <f t="shared" si="12"/>
        <v>7.6337346748034524E-2</v>
      </c>
      <c r="AZ13" s="9">
        <v>264.2</v>
      </c>
      <c r="BA13" s="7">
        <f t="shared" si="12"/>
        <v>6.1630655890923078E-2</v>
      </c>
      <c r="BB13" s="9">
        <f t="shared" si="15"/>
        <v>267.0333333333333</v>
      </c>
      <c r="BC13" s="10">
        <f t="shared" si="12"/>
        <v>6.3188373925632688E-2</v>
      </c>
    </row>
    <row r="14" spans="1:55" x14ac:dyDescent="0.3">
      <c r="A14" s="41" t="s">
        <v>13</v>
      </c>
      <c r="B14" s="22">
        <v>0</v>
      </c>
      <c r="C14" s="23">
        <v>29.6</v>
      </c>
      <c r="D14" s="29">
        <v>32.299999999999997</v>
      </c>
      <c r="E14" s="7">
        <f t="shared" si="0"/>
        <v>1.091216216216216</v>
      </c>
      <c r="F14" s="6">
        <v>33.299999999999997</v>
      </c>
      <c r="G14" s="7">
        <f t="shared" si="0"/>
        <v>1.1249999999999998</v>
      </c>
      <c r="H14" s="6">
        <v>32.5</v>
      </c>
      <c r="I14" s="7">
        <f t="shared" si="0"/>
        <v>1.097972972972973</v>
      </c>
      <c r="J14" s="6">
        <v>31.9</v>
      </c>
      <c r="K14" s="7">
        <f t="shared" si="0"/>
        <v>1.0777027027027026</v>
      </c>
      <c r="L14" s="6">
        <v>31.9</v>
      </c>
      <c r="M14" s="7">
        <f t="shared" si="0"/>
        <v>1.0777027027027026</v>
      </c>
      <c r="N14" s="8">
        <f t="shared" si="13"/>
        <v>32.380000000000003</v>
      </c>
      <c r="O14" s="10">
        <f t="shared" si="2"/>
        <v>1.0939189189189189</v>
      </c>
      <c r="P14" s="29">
        <v>31.7</v>
      </c>
      <c r="Q14" s="7">
        <f t="shared" si="3"/>
        <v>1.0709459459459458</v>
      </c>
      <c r="R14" s="6">
        <v>31.1</v>
      </c>
      <c r="S14" s="7">
        <f t="shared" si="4"/>
        <v>1.0506756756756757</v>
      </c>
      <c r="T14" s="6">
        <v>32.1</v>
      </c>
      <c r="U14" s="7">
        <f t="shared" si="17"/>
        <v>1.0844594594594594</v>
      </c>
      <c r="V14" s="6">
        <v>29.3</v>
      </c>
      <c r="W14" s="7">
        <f t="shared" si="17"/>
        <v>0.9898648648648648</v>
      </c>
      <c r="X14" s="6">
        <v>31.9</v>
      </c>
      <c r="Y14" s="7">
        <f t="shared" si="18"/>
        <v>1.0777027027027026</v>
      </c>
      <c r="Z14" s="8">
        <f t="shared" si="5"/>
        <v>31.22</v>
      </c>
      <c r="AA14" s="10">
        <f t="shared" si="6"/>
        <v>1.0547297297297296</v>
      </c>
      <c r="AB14" s="37">
        <v>0.01</v>
      </c>
      <c r="AC14" s="7">
        <f t="shared" si="7"/>
        <v>3.378378378378378E-4</v>
      </c>
      <c r="AD14" s="9">
        <v>0.01</v>
      </c>
      <c r="AE14" s="7">
        <f t="shared" si="7"/>
        <v>3.378378378378378E-4</v>
      </c>
      <c r="AF14" s="9">
        <v>0.03</v>
      </c>
      <c r="AG14" s="7">
        <f t="shared" si="7"/>
        <v>1.0135135135135134E-3</v>
      </c>
      <c r="AH14" s="9">
        <v>0.01</v>
      </c>
      <c r="AI14" s="7">
        <f t="shared" si="7"/>
        <v>3.378378378378378E-4</v>
      </c>
      <c r="AJ14" s="9">
        <v>0.13</v>
      </c>
      <c r="AK14" s="7">
        <f t="shared" si="7"/>
        <v>4.3918918918918921E-3</v>
      </c>
      <c r="AL14" s="9">
        <f t="shared" si="16"/>
        <v>3.7999999999999999E-2</v>
      </c>
      <c r="AM14" s="10">
        <f t="shared" si="7"/>
        <v>1.2837837837837837E-3</v>
      </c>
      <c r="AN14" s="37">
        <v>0.09</v>
      </c>
      <c r="AO14" s="7">
        <f t="shared" si="8"/>
        <v>3.0405405405405403E-3</v>
      </c>
      <c r="AP14" s="9">
        <v>28.19</v>
      </c>
      <c r="AQ14" s="7">
        <f t="shared" si="8"/>
        <v>0.95236486486486482</v>
      </c>
      <c r="AR14" s="9">
        <v>0.18</v>
      </c>
      <c r="AS14" s="7">
        <f t="shared" si="10"/>
        <v>6.0810810810810806E-3</v>
      </c>
      <c r="AT14" s="9">
        <f t="shared" si="14"/>
        <v>9.4866666666666664</v>
      </c>
      <c r="AU14" s="10">
        <f t="shared" si="11"/>
        <v>0.3204954954954955</v>
      </c>
      <c r="AV14" s="9">
        <v>0.1</v>
      </c>
      <c r="AW14" s="7">
        <f t="shared" si="12"/>
        <v>3.3783783783783786E-3</v>
      </c>
      <c r="AX14" s="8">
        <v>0</v>
      </c>
      <c r="AY14" s="7">
        <f t="shared" si="12"/>
        <v>0</v>
      </c>
      <c r="AZ14" s="8">
        <v>0</v>
      </c>
      <c r="BA14" s="7">
        <f t="shared" si="12"/>
        <v>0</v>
      </c>
      <c r="BB14" s="9">
        <f t="shared" si="15"/>
        <v>3.3333333333333333E-2</v>
      </c>
      <c r="BC14" s="10">
        <f t="shared" si="12"/>
        <v>1.1261261261261261E-3</v>
      </c>
    </row>
    <row r="15" spans="1:55" x14ac:dyDescent="0.3">
      <c r="A15" s="41" t="s">
        <v>14</v>
      </c>
      <c r="B15" s="22">
        <v>65.2</v>
      </c>
      <c r="C15" s="23">
        <v>4334.7</v>
      </c>
      <c r="D15" s="29">
        <v>207.8</v>
      </c>
      <c r="E15" s="7">
        <f t="shared" si="0"/>
        <v>3.3399695514697278E-2</v>
      </c>
      <c r="F15" s="6">
        <v>541.25</v>
      </c>
      <c r="G15" s="7">
        <f t="shared" si="0"/>
        <v>0.11150017566459773</v>
      </c>
      <c r="H15" s="6">
        <v>266.3</v>
      </c>
      <c r="I15" s="7">
        <f t="shared" si="0"/>
        <v>4.7101534137486828E-2</v>
      </c>
      <c r="J15" s="6">
        <v>1599.4</v>
      </c>
      <c r="K15" s="7">
        <f t="shared" si="0"/>
        <v>0.35933950111254248</v>
      </c>
      <c r="L15" s="6">
        <v>282.60000000000002</v>
      </c>
      <c r="M15" s="7">
        <f t="shared" si="0"/>
        <v>5.0919311394776914E-2</v>
      </c>
      <c r="N15" s="8">
        <f t="shared" si="13"/>
        <v>579.47</v>
      </c>
      <c r="O15" s="10">
        <f t="shared" si="2"/>
        <v>0.12045204356482023</v>
      </c>
      <c r="P15" s="29">
        <v>254.1</v>
      </c>
      <c r="Q15" s="7">
        <f t="shared" si="3"/>
        <v>4.4244056681110193E-2</v>
      </c>
      <c r="R15" s="6">
        <v>259.2</v>
      </c>
      <c r="S15" s="7">
        <f t="shared" si="4"/>
        <v>4.5438575945661086E-2</v>
      </c>
      <c r="T15" s="6">
        <v>267.60000000000002</v>
      </c>
      <c r="U15" s="7">
        <f t="shared" si="17"/>
        <v>4.740601944021549E-2</v>
      </c>
      <c r="V15" s="6">
        <v>270.3</v>
      </c>
      <c r="W15" s="7">
        <f t="shared" si="17"/>
        <v>4.8038411992036546E-2</v>
      </c>
      <c r="X15" s="6">
        <v>269.8</v>
      </c>
      <c r="Y15" s="7">
        <f t="shared" si="18"/>
        <v>4.7921302260217832E-2</v>
      </c>
      <c r="Z15" s="8">
        <f t="shared" si="5"/>
        <v>264.2</v>
      </c>
      <c r="AA15" s="10">
        <f t="shared" si="6"/>
        <v>4.6609673263848225E-2</v>
      </c>
      <c r="AB15" s="37">
        <v>328.6</v>
      </c>
      <c r="AC15" s="7">
        <f t="shared" si="7"/>
        <v>6.1693406722098616E-2</v>
      </c>
      <c r="AD15" s="9">
        <v>2296.3000000000002</v>
      </c>
      <c r="AE15" s="7">
        <f t="shared" si="7"/>
        <v>0.52256704532146625</v>
      </c>
      <c r="AF15" s="9">
        <v>267.2</v>
      </c>
      <c r="AG15" s="7">
        <f t="shared" si="7"/>
        <v>4.7312331654760509E-2</v>
      </c>
      <c r="AH15" s="9">
        <v>276.2</v>
      </c>
      <c r="AI15" s="7">
        <f t="shared" si="7"/>
        <v>4.9420306827497366E-2</v>
      </c>
      <c r="AJ15" s="9">
        <v>294.8</v>
      </c>
      <c r="AK15" s="7">
        <f t="shared" si="7"/>
        <v>5.3776788851153536E-2</v>
      </c>
      <c r="AL15" s="9">
        <f t="shared" si="16"/>
        <v>692.62</v>
      </c>
      <c r="AM15" s="10">
        <f t="shared" si="7"/>
        <v>0.14695397587539524</v>
      </c>
      <c r="AN15" s="37">
        <v>292.3</v>
      </c>
      <c r="AO15" s="7">
        <f t="shared" si="8"/>
        <v>5.3191240192059966E-2</v>
      </c>
      <c r="AP15" s="9">
        <v>240.2</v>
      </c>
      <c r="AQ15" s="7">
        <f t="shared" si="8"/>
        <v>4.098840613654995E-2</v>
      </c>
      <c r="AR15" s="9">
        <v>222.7</v>
      </c>
      <c r="AS15" s="7">
        <f t="shared" si="10"/>
        <v>3.6889565522894956E-2</v>
      </c>
      <c r="AT15" s="9">
        <f t="shared" si="14"/>
        <v>251.73333333333335</v>
      </c>
      <c r="AU15" s="10">
        <f t="shared" si="11"/>
        <v>4.3689737283834962E-2</v>
      </c>
      <c r="AV15" s="9">
        <v>3224.5</v>
      </c>
      <c r="AW15" s="7">
        <f t="shared" si="12"/>
        <v>0.7399695514697272</v>
      </c>
      <c r="AX15" s="9">
        <v>282.8</v>
      </c>
      <c r="AY15" s="7">
        <f t="shared" si="12"/>
        <v>5.0966155287504394E-2</v>
      </c>
      <c r="AZ15" s="9">
        <v>2306.5</v>
      </c>
      <c r="BA15" s="7">
        <f t="shared" si="12"/>
        <v>0.52495608385056802</v>
      </c>
      <c r="BB15" s="9">
        <f t="shared" si="15"/>
        <v>1937.9333333333334</v>
      </c>
      <c r="BC15" s="10">
        <f t="shared" si="12"/>
        <v>0.43863059686926653</v>
      </c>
    </row>
    <row r="16" spans="1:55" x14ac:dyDescent="0.3">
      <c r="A16" s="40" t="s">
        <v>15</v>
      </c>
      <c r="B16" s="22">
        <v>257.60000000000002</v>
      </c>
      <c r="C16" s="23">
        <v>2412.5</v>
      </c>
      <c r="D16" s="29">
        <v>5549</v>
      </c>
      <c r="E16" s="7">
        <f t="shared" si="0"/>
        <v>2.4555199777251842</v>
      </c>
      <c r="F16" s="6">
        <v>4898.1000000000004</v>
      </c>
      <c r="G16" s="7">
        <f t="shared" si="0"/>
        <v>2.1534641978746114</v>
      </c>
      <c r="H16" s="6">
        <v>5683.8</v>
      </c>
      <c r="I16" s="7">
        <f t="shared" si="0"/>
        <v>2.5180750846907047</v>
      </c>
      <c r="J16" s="6">
        <v>5284</v>
      </c>
      <c r="K16" s="7">
        <f t="shared" si="0"/>
        <v>2.332544433616409</v>
      </c>
      <c r="L16" s="6">
        <v>5085.2</v>
      </c>
      <c r="M16" s="7">
        <f t="shared" si="0"/>
        <v>2.2402895726019767</v>
      </c>
      <c r="N16" s="8">
        <f t="shared" si="13"/>
        <v>5300.02</v>
      </c>
      <c r="O16" s="10">
        <f t="shared" si="2"/>
        <v>2.3399786533017775</v>
      </c>
      <c r="P16" s="29">
        <v>4509.2</v>
      </c>
      <c r="Q16" s="7">
        <f t="shared" si="3"/>
        <v>1.9729917861617705</v>
      </c>
      <c r="R16" s="6">
        <v>4878.5</v>
      </c>
      <c r="S16" s="7">
        <f t="shared" si="4"/>
        <v>2.144368648197132</v>
      </c>
      <c r="T16" s="6">
        <v>3277.1</v>
      </c>
      <c r="U16" s="7">
        <f t="shared" si="17"/>
        <v>1.4012251148545176</v>
      </c>
      <c r="V16" s="6">
        <v>4627.8999999999996</v>
      </c>
      <c r="W16" s="7">
        <f t="shared" si="17"/>
        <v>2.0280755487493614</v>
      </c>
      <c r="X16" s="6">
        <v>4778.5</v>
      </c>
      <c r="Y16" s="7">
        <f t="shared" si="18"/>
        <v>2.0979627824957072</v>
      </c>
      <c r="Z16" s="8">
        <f t="shared" si="5"/>
        <v>4414.24</v>
      </c>
      <c r="AA16" s="10">
        <f t="shared" si="6"/>
        <v>1.9289247760916977</v>
      </c>
      <c r="AB16" s="37">
        <v>6369.4</v>
      </c>
      <c r="AC16" s="7">
        <f t="shared" si="7"/>
        <v>2.836233699939672</v>
      </c>
      <c r="AD16" s="9">
        <v>5240.3999999999996</v>
      </c>
      <c r="AE16" s="7">
        <f t="shared" si="7"/>
        <v>2.3123114761705876</v>
      </c>
      <c r="AF16" s="9">
        <v>2908.4</v>
      </c>
      <c r="AG16" s="7">
        <f t="shared" si="7"/>
        <v>1.230126688013365</v>
      </c>
      <c r="AH16" s="9">
        <v>2246.8000000000002</v>
      </c>
      <c r="AI16" s="7">
        <f t="shared" si="7"/>
        <v>0.92310548053273944</v>
      </c>
      <c r="AJ16" s="9">
        <v>5314.2</v>
      </c>
      <c r="AK16" s="7">
        <f t="shared" si="7"/>
        <v>2.3465590050582392</v>
      </c>
      <c r="AL16" s="9">
        <f t="shared" si="16"/>
        <v>4415.84</v>
      </c>
      <c r="AM16" s="10">
        <f>(AL16-$B16)/($C16-$B16)</f>
        <v>1.9296672699429207</v>
      </c>
      <c r="AN16" s="37">
        <v>2842.8</v>
      </c>
      <c r="AO16" s="7">
        <f t="shared" si="8"/>
        <v>1.1996844401132305</v>
      </c>
      <c r="AP16" s="9">
        <v>6028.6</v>
      </c>
      <c r="AQ16" s="7">
        <f t="shared" si="8"/>
        <v>2.6780825096292169</v>
      </c>
      <c r="AR16" s="9">
        <v>3353.4</v>
      </c>
      <c r="AS16" s="7">
        <f t="shared" si="10"/>
        <v>1.4366327903847047</v>
      </c>
      <c r="AT16" s="9">
        <f t="shared" si="14"/>
        <v>4074.9333333333338</v>
      </c>
      <c r="AU16" s="10">
        <f t="shared" si="11"/>
        <v>1.7714665800423843</v>
      </c>
      <c r="AV16" s="9">
        <v>20788.2</v>
      </c>
      <c r="AW16" s="7">
        <f t="shared" si="12"/>
        <v>9.5274026636966926</v>
      </c>
      <c r="AX16" s="9">
        <v>4360.6000000000004</v>
      </c>
      <c r="AY16" s="7">
        <f t="shared" si="12"/>
        <v>1.9040326697294536</v>
      </c>
      <c r="AZ16" s="9">
        <v>3545.2</v>
      </c>
      <c r="BA16" s="7">
        <f t="shared" si="12"/>
        <v>1.525639240800037</v>
      </c>
      <c r="BB16" s="9">
        <f t="shared" si="15"/>
        <v>9564.6666666666679</v>
      </c>
      <c r="BC16" s="10">
        <f t="shared" si="12"/>
        <v>4.3190248580753945</v>
      </c>
    </row>
    <row r="17" spans="1:55" x14ac:dyDescent="0.3">
      <c r="A17" s="41" t="s">
        <v>16</v>
      </c>
      <c r="B17" s="22">
        <v>1027</v>
      </c>
      <c r="C17" s="23">
        <v>30826.400000000001</v>
      </c>
      <c r="D17" s="29">
        <v>5852.1</v>
      </c>
      <c r="E17" s="7">
        <f t="shared" si="0"/>
        <v>0.1619193675040437</v>
      </c>
      <c r="F17" s="6">
        <v>7550.5</v>
      </c>
      <c r="G17" s="7">
        <f t="shared" si="0"/>
        <v>0.21891380363363019</v>
      </c>
      <c r="H17" s="6">
        <v>7564.6</v>
      </c>
      <c r="I17" s="7">
        <f t="shared" si="0"/>
        <v>0.21938696752283604</v>
      </c>
      <c r="J17" s="6">
        <v>7689</v>
      </c>
      <c r="K17" s="7">
        <f t="shared" si="0"/>
        <v>0.22356154821909166</v>
      </c>
      <c r="L17" s="6">
        <v>7710.7</v>
      </c>
      <c r="M17" s="7">
        <f t="shared" si="0"/>
        <v>0.22428975080035166</v>
      </c>
      <c r="N17" s="8">
        <f t="shared" si="13"/>
        <v>7273.38</v>
      </c>
      <c r="O17" s="10">
        <f t="shared" si="2"/>
        <v>0.20961428753599065</v>
      </c>
      <c r="P17" s="29">
        <v>7582.9</v>
      </c>
      <c r="Q17" s="7">
        <f t="shared" si="3"/>
        <v>0.22000107384712442</v>
      </c>
      <c r="R17" s="6">
        <v>8022.4</v>
      </c>
      <c r="S17" s="7">
        <f t="shared" si="4"/>
        <v>0.23474969294683784</v>
      </c>
      <c r="T17" s="6">
        <v>7192.1</v>
      </c>
      <c r="U17" s="7">
        <f t="shared" si="17"/>
        <v>0.20688671583991625</v>
      </c>
      <c r="V17" s="6">
        <v>3173.1</v>
      </c>
      <c r="W17" s="7">
        <f t="shared" si="17"/>
        <v>7.2018228554937336E-2</v>
      </c>
      <c r="X17" s="6">
        <v>7163.9</v>
      </c>
      <c r="Y17" s="7">
        <f t="shared" si="18"/>
        <v>0.20594038806150458</v>
      </c>
      <c r="Z17" s="8">
        <f t="shared" si="5"/>
        <v>6626.88</v>
      </c>
      <c r="AA17" s="10">
        <f t="shared" si="6"/>
        <v>0.1879192198500641</v>
      </c>
      <c r="AB17" s="37">
        <v>7767.6</v>
      </c>
      <c r="AC17" s="7">
        <f>(AB17-$B17)/($C17-$B17)</f>
        <v>0.22619918521849433</v>
      </c>
      <c r="AD17" s="9">
        <v>7773</v>
      </c>
      <c r="AE17" s="7">
        <f t="shared" si="7"/>
        <v>0.22638039692074335</v>
      </c>
      <c r="AF17" s="9">
        <v>7412.9</v>
      </c>
      <c r="AG17" s="7">
        <f t="shared" si="7"/>
        <v>0.21429626099854357</v>
      </c>
      <c r="AH17" s="9">
        <v>13469.35</v>
      </c>
      <c r="AI17" s="7">
        <f t="shared" si="7"/>
        <v>0.41753693027376387</v>
      </c>
      <c r="AJ17" s="9">
        <v>7586.3</v>
      </c>
      <c r="AK17" s="7">
        <f t="shared" si="7"/>
        <v>0.22011517010409606</v>
      </c>
      <c r="AL17" s="9">
        <f t="shared" si="16"/>
        <v>8801.83</v>
      </c>
      <c r="AM17" s="10">
        <f>(AL17-$B17)/($C17-$B17)</f>
        <v>0.26090558870312824</v>
      </c>
      <c r="AN17" s="37">
        <v>3234</v>
      </c>
      <c r="AO17" s="7">
        <f t="shared" si="8"/>
        <v>7.4061893863634834E-2</v>
      </c>
      <c r="AP17" s="9">
        <v>7641.55</v>
      </c>
      <c r="AQ17" s="7">
        <f t="shared" si="8"/>
        <v>0.22196923427988483</v>
      </c>
      <c r="AR17" s="9">
        <v>3077.25</v>
      </c>
      <c r="AS17" s="7">
        <f t="shared" si="10"/>
        <v>6.8801720840016914E-2</v>
      </c>
      <c r="AT17" s="9">
        <f t="shared" si="14"/>
        <v>4650.9333333333334</v>
      </c>
      <c r="AU17" s="10">
        <f t="shared" si="11"/>
        <v>0.12161094966117886</v>
      </c>
      <c r="AV17" s="9">
        <v>13328.35</v>
      </c>
      <c r="AW17" s="7">
        <f t="shared" si="12"/>
        <v>0.41280529138170569</v>
      </c>
      <c r="AX17" s="9">
        <v>12834.05</v>
      </c>
      <c r="AY17" s="7">
        <f t="shared" si="12"/>
        <v>0.39621770908139087</v>
      </c>
      <c r="AZ17" s="9">
        <v>3433.6</v>
      </c>
      <c r="BA17" s="7">
        <f t="shared" si="12"/>
        <v>8.0760015302321519E-2</v>
      </c>
      <c r="BB17" s="9">
        <f t="shared" si="15"/>
        <v>9865.3333333333339</v>
      </c>
      <c r="BC17" s="10">
        <f t="shared" si="12"/>
        <v>0.29659433858847273</v>
      </c>
    </row>
    <row r="18" spans="1:55" x14ac:dyDescent="0.3">
      <c r="A18" s="42" t="s">
        <v>17</v>
      </c>
      <c r="B18" s="22">
        <v>29</v>
      </c>
      <c r="C18" s="23">
        <v>302.8</v>
      </c>
      <c r="D18" s="29">
        <v>503.8</v>
      </c>
      <c r="E18" s="7">
        <f t="shared" si="0"/>
        <v>1.7341124908692476</v>
      </c>
      <c r="F18" s="6">
        <v>738.5</v>
      </c>
      <c r="G18" s="7">
        <f t="shared" si="0"/>
        <v>2.5913075237399559</v>
      </c>
      <c r="H18" s="6">
        <v>606.29999999999995</v>
      </c>
      <c r="I18" s="7">
        <f t="shared" si="0"/>
        <v>2.1084733382030678</v>
      </c>
      <c r="J18" s="6">
        <v>526</v>
      </c>
      <c r="K18" s="7">
        <f t="shared" si="0"/>
        <v>1.8151935719503287</v>
      </c>
      <c r="L18" s="6">
        <v>687.5</v>
      </c>
      <c r="M18" s="7">
        <f t="shared" si="0"/>
        <v>2.4050401753104453</v>
      </c>
      <c r="N18" s="8">
        <f t="shared" si="13"/>
        <v>612.41999999999996</v>
      </c>
      <c r="O18" s="10">
        <f t="shared" si="2"/>
        <v>2.1308254200146091</v>
      </c>
      <c r="P18" s="29">
        <v>575.5</v>
      </c>
      <c r="Q18" s="7">
        <f t="shared" si="3"/>
        <v>1.9959824689554417</v>
      </c>
      <c r="R18" s="6">
        <v>683.2</v>
      </c>
      <c r="S18" s="7">
        <f t="shared" si="4"/>
        <v>2.3893352812271731</v>
      </c>
      <c r="T18" s="6">
        <v>725.5</v>
      </c>
      <c r="U18" s="7">
        <f t="shared" si="17"/>
        <v>2.5438276113951788</v>
      </c>
      <c r="V18" s="6">
        <v>682.2</v>
      </c>
      <c r="W18" s="7">
        <f t="shared" si="17"/>
        <v>2.3856829802775747</v>
      </c>
      <c r="X18" s="6">
        <v>720.2</v>
      </c>
      <c r="Y18" s="7">
        <f t="shared" si="18"/>
        <v>2.5244704163623082</v>
      </c>
      <c r="Z18" s="8">
        <f t="shared" si="5"/>
        <v>677.32</v>
      </c>
      <c r="AA18" s="10">
        <f t="shared" si="6"/>
        <v>2.3678597516435356</v>
      </c>
      <c r="AB18" s="37">
        <v>265</v>
      </c>
      <c r="AC18" s="7">
        <f t="shared" si="7"/>
        <v>0.8619430241051862</v>
      </c>
      <c r="AD18" s="9">
        <v>578.5</v>
      </c>
      <c r="AE18" s="7">
        <f t="shared" si="7"/>
        <v>2.0069393718042368</v>
      </c>
      <c r="AF18" s="9">
        <v>289.5</v>
      </c>
      <c r="AG18" s="7">
        <f t="shared" si="7"/>
        <v>0.95142439737034323</v>
      </c>
      <c r="AH18" s="9">
        <v>280.5</v>
      </c>
      <c r="AI18" s="7">
        <f t="shared" si="7"/>
        <v>0.91855368882395905</v>
      </c>
      <c r="AJ18" s="9">
        <v>272.5</v>
      </c>
      <c r="AK18" s="7">
        <f t="shared" si="7"/>
        <v>0.88933528122717309</v>
      </c>
      <c r="AL18" s="9">
        <f t="shared" si="16"/>
        <v>337.2</v>
      </c>
      <c r="AM18" s="10">
        <f t="shared" si="7"/>
        <v>1.1256391526661795</v>
      </c>
      <c r="AN18" s="37">
        <v>518.5</v>
      </c>
      <c r="AO18" s="7">
        <f t="shared" si="8"/>
        <v>1.7878013148283418</v>
      </c>
      <c r="AP18" s="9">
        <v>290.5</v>
      </c>
      <c r="AQ18" s="7">
        <f t="shared" si="8"/>
        <v>0.95507669831994157</v>
      </c>
      <c r="AR18" s="9">
        <v>186.5</v>
      </c>
      <c r="AS18" s="7">
        <f t="shared" si="10"/>
        <v>0.57523739956172382</v>
      </c>
      <c r="AT18" s="9">
        <f t="shared" si="14"/>
        <v>331.83333333333331</v>
      </c>
      <c r="AU18" s="10">
        <f t="shared" si="11"/>
        <v>1.1060384709033357</v>
      </c>
      <c r="AV18" s="9">
        <v>274.5</v>
      </c>
      <c r="AW18" s="7">
        <f t="shared" si="12"/>
        <v>0.89663988312636955</v>
      </c>
      <c r="AX18" s="9">
        <v>421.5</v>
      </c>
      <c r="AY18" s="7">
        <f t="shared" si="12"/>
        <v>1.4335281227173118</v>
      </c>
      <c r="AZ18" s="9">
        <v>287.5</v>
      </c>
      <c r="BA18" s="7">
        <f t="shared" si="12"/>
        <v>0.94411979547114677</v>
      </c>
      <c r="BB18" s="9">
        <f t="shared" si="15"/>
        <v>327.83333333333331</v>
      </c>
      <c r="BC18" s="10">
        <f t="shared" si="12"/>
        <v>1.0914292671049426</v>
      </c>
    </row>
    <row r="19" spans="1:55" x14ac:dyDescent="0.3">
      <c r="A19" s="41" t="s">
        <v>18</v>
      </c>
      <c r="B19" s="22">
        <v>52</v>
      </c>
      <c r="C19" s="23">
        <v>3035</v>
      </c>
      <c r="D19" s="29">
        <v>3228.8</v>
      </c>
      <c r="E19" s="7">
        <f t="shared" si="0"/>
        <v>1.064968152866242</v>
      </c>
      <c r="F19" s="6">
        <v>8959.6</v>
      </c>
      <c r="G19" s="7">
        <f t="shared" si="0"/>
        <v>2.9861213543412672</v>
      </c>
      <c r="H19" s="6">
        <v>3396.2</v>
      </c>
      <c r="I19" s="7">
        <f t="shared" si="0"/>
        <v>1.1210861548776399</v>
      </c>
      <c r="J19" s="6">
        <v>9834.6</v>
      </c>
      <c r="K19" s="7">
        <f t="shared" si="0"/>
        <v>3.2794502179014415</v>
      </c>
      <c r="L19" s="6">
        <v>12428.8</v>
      </c>
      <c r="M19" s="7">
        <f t="shared" si="0"/>
        <v>4.1491116325846464</v>
      </c>
      <c r="N19" s="8">
        <f t="shared" si="13"/>
        <v>7569.6</v>
      </c>
      <c r="O19" s="10">
        <f t="shared" si="2"/>
        <v>2.5201475025142477</v>
      </c>
      <c r="P19" s="29">
        <v>7230.8</v>
      </c>
      <c r="Q19" s="7">
        <f t="shared" si="3"/>
        <v>2.4065705665437478</v>
      </c>
      <c r="R19" s="6">
        <v>11017.3</v>
      </c>
      <c r="S19" s="7">
        <f t="shared" si="4"/>
        <v>3.6759302715387192</v>
      </c>
      <c r="T19" s="6">
        <v>3059.6</v>
      </c>
      <c r="U19" s="7">
        <f t="shared" si="17"/>
        <v>1.0082467314783774</v>
      </c>
      <c r="V19" s="6">
        <v>9453.7999999999993</v>
      </c>
      <c r="W19" s="7">
        <f t="shared" si="17"/>
        <v>3.1517934964800536</v>
      </c>
      <c r="X19" s="6">
        <v>8528.4</v>
      </c>
      <c r="Y19" s="7">
        <f t="shared" si="18"/>
        <v>2.841568890378813</v>
      </c>
      <c r="Z19" s="8">
        <f t="shared" si="5"/>
        <v>7857.9799999999987</v>
      </c>
      <c r="AA19" s="10">
        <f t="shared" si="6"/>
        <v>2.6168219912839419</v>
      </c>
      <c r="AB19" s="37">
        <v>2468</v>
      </c>
      <c r="AC19" s="7">
        <f t="shared" si="7"/>
        <v>0.80992289641300708</v>
      </c>
      <c r="AD19" s="9">
        <v>9974</v>
      </c>
      <c r="AE19" s="7">
        <f t="shared" si="7"/>
        <v>3.3261816962789137</v>
      </c>
      <c r="AF19" s="9">
        <v>1782</v>
      </c>
      <c r="AG19" s="7">
        <f t="shared" si="7"/>
        <v>0.57995306738183039</v>
      </c>
      <c r="AH19" s="9">
        <v>1788</v>
      </c>
      <c r="AI19" s="7">
        <f t="shared" si="7"/>
        <v>0.58196446530338586</v>
      </c>
      <c r="AJ19" s="9">
        <v>3366</v>
      </c>
      <c r="AK19" s="7">
        <f t="shared" si="7"/>
        <v>1.1109621186724774</v>
      </c>
      <c r="AL19" s="9">
        <f t="shared" si="16"/>
        <v>3875.6</v>
      </c>
      <c r="AM19" s="10">
        <f t="shared" si="7"/>
        <v>1.281796848809923</v>
      </c>
      <c r="AN19" s="37">
        <v>665</v>
      </c>
      <c r="AO19" s="7">
        <f t="shared" ref="AO19:AQ28" si="19">(AN19-$B19)/($C19-$B19)</f>
        <v>0.20549782098558497</v>
      </c>
      <c r="AP19" s="9">
        <v>1938</v>
      </c>
      <c r="AQ19" s="7">
        <f t="shared" si="19"/>
        <v>0.63224941334227291</v>
      </c>
      <c r="AR19" s="9">
        <v>8952</v>
      </c>
      <c r="AS19" s="7">
        <f t="shared" si="10"/>
        <v>2.9835735836406303</v>
      </c>
      <c r="AT19" s="9">
        <f t="shared" si="14"/>
        <v>3851.6666666666665</v>
      </c>
      <c r="AU19" s="10">
        <f t="shared" si="11"/>
        <v>1.273773605989496</v>
      </c>
      <c r="AV19" s="9">
        <v>10494</v>
      </c>
      <c r="AW19" s="7">
        <f t="shared" si="12"/>
        <v>3.5005028494803887</v>
      </c>
      <c r="AX19" s="9">
        <v>3424</v>
      </c>
      <c r="AY19" s="7">
        <f t="shared" si="12"/>
        <v>1.1304056319141804</v>
      </c>
      <c r="AZ19" s="9">
        <v>1794</v>
      </c>
      <c r="BA19" s="7">
        <f t="shared" si="12"/>
        <v>0.58397586322494133</v>
      </c>
      <c r="BB19" s="9">
        <f t="shared" si="15"/>
        <v>5237.333333333333</v>
      </c>
      <c r="BC19" s="10">
        <f t="shared" si="12"/>
        <v>1.7382947815398369</v>
      </c>
    </row>
    <row r="20" spans="1:55" x14ac:dyDescent="0.3">
      <c r="A20" s="42" t="s">
        <v>19</v>
      </c>
      <c r="B20" s="22">
        <v>1598</v>
      </c>
      <c r="C20" s="23">
        <v>2665.5</v>
      </c>
      <c r="D20" s="29">
        <v>9990.2999999999993</v>
      </c>
      <c r="E20" s="7">
        <f t="shared" si="0"/>
        <v>7.8616393442622945</v>
      </c>
      <c r="F20" s="6">
        <v>8546.1</v>
      </c>
      <c r="G20" s="7">
        <f t="shared" si="0"/>
        <v>6.5087587822014052</v>
      </c>
      <c r="H20" s="6">
        <v>8138.7</v>
      </c>
      <c r="I20" s="7">
        <f t="shared" si="0"/>
        <v>6.1271194379391103</v>
      </c>
      <c r="J20" s="6">
        <v>9321.6</v>
      </c>
      <c r="K20" s="7">
        <f t="shared" si="0"/>
        <v>7.2352224824355975</v>
      </c>
      <c r="L20" s="6">
        <v>9328.2000000000007</v>
      </c>
      <c r="M20" s="7">
        <f t="shared" si="0"/>
        <v>7.2414051522248251</v>
      </c>
      <c r="N20" s="8">
        <f t="shared" si="13"/>
        <v>9064.9800000000014</v>
      </c>
      <c r="O20" s="10">
        <f t="shared" si="2"/>
        <v>6.9948290398126476</v>
      </c>
      <c r="P20" s="29">
        <v>7202.5</v>
      </c>
      <c r="Q20" s="7">
        <f t="shared" si="3"/>
        <v>5.2501170960187356</v>
      </c>
      <c r="R20" s="6">
        <v>7177.3</v>
      </c>
      <c r="S20" s="7">
        <f t="shared" si="4"/>
        <v>5.2265105386416861</v>
      </c>
      <c r="T20" s="6">
        <v>6240.7</v>
      </c>
      <c r="U20" s="7">
        <f t="shared" si="17"/>
        <v>4.3491334894613578</v>
      </c>
      <c r="V20" s="6">
        <v>7676.8</v>
      </c>
      <c r="W20" s="7">
        <f t="shared" si="17"/>
        <v>5.6944262295081973</v>
      </c>
      <c r="X20" s="6">
        <v>8631.2999999999993</v>
      </c>
      <c r="Y20" s="7">
        <f t="shared" si="18"/>
        <v>6.5885714285714281</v>
      </c>
      <c r="Z20" s="8">
        <f t="shared" si="5"/>
        <v>7385.7199999999993</v>
      </c>
      <c r="AA20" s="10">
        <f t="shared" si="6"/>
        <v>5.4217517564402806</v>
      </c>
      <c r="AB20" s="37">
        <v>10474.1</v>
      </c>
      <c r="AC20" s="7">
        <f t="shared" si="7"/>
        <v>8.3148477751756449</v>
      </c>
      <c r="AD20" s="9">
        <v>7811.5</v>
      </c>
      <c r="AE20" s="7">
        <f t="shared" si="7"/>
        <v>5.8206088992974241</v>
      </c>
      <c r="AF20" s="9">
        <v>8505.2999999999993</v>
      </c>
      <c r="AG20" s="7">
        <f t="shared" si="7"/>
        <v>6.4705386416861819</v>
      </c>
      <c r="AH20" s="9">
        <v>8764.1</v>
      </c>
      <c r="AI20" s="7">
        <f t="shared" si="7"/>
        <v>6.7129742388758782</v>
      </c>
      <c r="AJ20" s="9">
        <v>8092.9</v>
      </c>
      <c r="AK20" s="7">
        <f t="shared" si="7"/>
        <v>6.0842154566744728</v>
      </c>
      <c r="AL20" s="9">
        <f t="shared" si="16"/>
        <v>8729.58</v>
      </c>
      <c r="AM20" s="10">
        <f t="shared" si="7"/>
        <v>6.6806370023419204</v>
      </c>
      <c r="AN20" s="37">
        <v>7518.4</v>
      </c>
      <c r="AO20" s="7">
        <f t="shared" si="19"/>
        <v>5.5460421545667442</v>
      </c>
      <c r="AP20" s="9">
        <v>6994.9</v>
      </c>
      <c r="AQ20" s="7">
        <f t="shared" si="19"/>
        <v>5.0556440281030444</v>
      </c>
      <c r="AR20" s="9">
        <v>8876.5</v>
      </c>
      <c r="AS20" s="7">
        <f t="shared" si="10"/>
        <v>6.8182669789227166</v>
      </c>
      <c r="AT20" s="9">
        <f t="shared" si="14"/>
        <v>7796.5999999999995</v>
      </c>
      <c r="AU20" s="10">
        <f t="shared" si="11"/>
        <v>5.8066510538641678</v>
      </c>
      <c r="AV20" s="9">
        <v>7712</v>
      </c>
      <c r="AW20" s="7">
        <f t="shared" si="12"/>
        <v>5.7274004683840749</v>
      </c>
      <c r="AX20" s="9">
        <v>7701.8</v>
      </c>
      <c r="AY20" s="7">
        <f t="shared" si="12"/>
        <v>5.7178454332552695</v>
      </c>
      <c r="AZ20" s="9">
        <v>7938.3</v>
      </c>
      <c r="BA20" s="7">
        <f t="shared" si="12"/>
        <v>5.9393911007025766</v>
      </c>
      <c r="BB20" s="9">
        <f t="shared" si="15"/>
        <v>7784.0333333333328</v>
      </c>
      <c r="BC20" s="10">
        <f t="shared" si="12"/>
        <v>5.7948790007806394</v>
      </c>
    </row>
    <row r="21" spans="1:55" x14ac:dyDescent="0.3">
      <c r="A21" s="42" t="s">
        <v>20</v>
      </c>
      <c r="B21" s="22">
        <v>258.5</v>
      </c>
      <c r="C21" s="23">
        <v>22736.3</v>
      </c>
      <c r="D21" s="29">
        <v>20034.599999999999</v>
      </c>
      <c r="E21" s="7">
        <f t="shared" si="0"/>
        <v>0.87980585288595858</v>
      </c>
      <c r="F21" s="6">
        <v>14296.2</v>
      </c>
      <c r="G21" s="7">
        <f t="shared" si="0"/>
        <v>0.62451396488980249</v>
      </c>
      <c r="H21" s="6">
        <v>20867.3</v>
      </c>
      <c r="I21" s="7">
        <f t="shared" si="0"/>
        <v>0.91685129327603232</v>
      </c>
      <c r="J21" s="6">
        <v>24529.8</v>
      </c>
      <c r="K21" s="7">
        <f t="shared" si="0"/>
        <v>1.0797898370837005</v>
      </c>
      <c r="L21" s="6">
        <v>17552.900000000001</v>
      </c>
      <c r="M21" s="7">
        <f t="shared" si="0"/>
        <v>0.76939914048527891</v>
      </c>
      <c r="N21" s="8">
        <f t="shared" si="13"/>
        <v>19456.160000000003</v>
      </c>
      <c r="O21" s="10">
        <f t="shared" si="2"/>
        <v>0.85407201772415464</v>
      </c>
      <c r="P21" s="29">
        <v>32730.799999999999</v>
      </c>
      <c r="Q21" s="7">
        <f t="shared" si="3"/>
        <v>1.4446387101940581</v>
      </c>
      <c r="R21" s="6">
        <v>24095.200000000001</v>
      </c>
      <c r="S21" s="7">
        <f t="shared" si="4"/>
        <v>1.0604552046908506</v>
      </c>
      <c r="T21" s="6">
        <v>11032.7</v>
      </c>
      <c r="U21" s="7">
        <f t="shared" si="17"/>
        <v>0.47932626858500393</v>
      </c>
      <c r="V21" s="6">
        <v>13137.5</v>
      </c>
      <c r="W21" s="7">
        <f t="shared" si="17"/>
        <v>0.57296532578811099</v>
      </c>
      <c r="X21" s="6">
        <v>21319.200000000001</v>
      </c>
      <c r="Y21" s="7">
        <f t="shared" si="18"/>
        <v>0.93695557394406936</v>
      </c>
      <c r="Z21" s="8">
        <f t="shared" si="5"/>
        <v>20463.079999999998</v>
      </c>
      <c r="AA21" s="10">
        <f t="shared" si="6"/>
        <v>0.89886821664041849</v>
      </c>
      <c r="AB21" s="37">
        <v>25321</v>
      </c>
      <c r="AC21" s="7">
        <f t="shared" si="7"/>
        <v>1.1149890113801173</v>
      </c>
      <c r="AD21" s="9">
        <v>21494</v>
      </c>
      <c r="AE21" s="7">
        <f t="shared" si="7"/>
        <v>0.94473213570723114</v>
      </c>
      <c r="AF21" s="9">
        <v>21391</v>
      </c>
      <c r="AG21" s="7">
        <f t="shared" si="7"/>
        <v>0.94014983672779373</v>
      </c>
      <c r="AH21" s="9">
        <v>29418</v>
      </c>
      <c r="AI21" s="7">
        <f t="shared" si="7"/>
        <v>1.2972577387466746</v>
      </c>
      <c r="AJ21" s="9">
        <v>19549</v>
      </c>
      <c r="AK21" s="7">
        <f t="shared" si="7"/>
        <v>0.85820231517319312</v>
      </c>
      <c r="AL21" s="9">
        <f t="shared" si="16"/>
        <v>23434.6</v>
      </c>
      <c r="AM21" s="10">
        <f t="shared" si="7"/>
        <v>1.0310662075470018</v>
      </c>
      <c r="AN21" s="37">
        <v>23324</v>
      </c>
      <c r="AO21" s="7">
        <f t="shared" si="19"/>
        <v>1.0261457971865575</v>
      </c>
      <c r="AP21" s="9">
        <v>18261.2</v>
      </c>
      <c r="AQ21" s="7">
        <f t="shared" si="19"/>
        <v>0.80091023142834272</v>
      </c>
      <c r="AR21" s="9">
        <v>15166</v>
      </c>
      <c r="AS21" s="7">
        <f t="shared" si="10"/>
        <v>0.66320992267926582</v>
      </c>
      <c r="AT21" s="9">
        <f t="shared" si="14"/>
        <v>18917.066666666666</v>
      </c>
      <c r="AU21" s="10">
        <f t="shared" si="11"/>
        <v>0.83008865043138857</v>
      </c>
      <c r="AV21" s="9">
        <v>18905</v>
      </c>
      <c r="AW21" s="7">
        <f t="shared" si="12"/>
        <v>0.82955182446680731</v>
      </c>
      <c r="AX21" s="9">
        <v>25437</v>
      </c>
      <c r="AY21" s="7">
        <f t="shared" si="12"/>
        <v>1.1201496587744353</v>
      </c>
      <c r="AZ21" s="9">
        <v>22053</v>
      </c>
      <c r="BA21" s="7">
        <f t="shared" si="12"/>
        <v>0.96960111754709088</v>
      </c>
      <c r="BB21" s="9">
        <f t="shared" si="15"/>
        <v>22131.666666666668</v>
      </c>
      <c r="BC21" s="10">
        <f t="shared" si="12"/>
        <v>0.97310086692944453</v>
      </c>
    </row>
    <row r="22" spans="1:55" x14ac:dyDescent="0.3">
      <c r="A22" s="41" t="s">
        <v>21</v>
      </c>
      <c r="B22" s="22">
        <v>307.3</v>
      </c>
      <c r="C22" s="23">
        <v>6951.6</v>
      </c>
      <c r="D22" s="29">
        <v>1365.7</v>
      </c>
      <c r="E22" s="7">
        <f t="shared" ref="E22:M28" si="20">(D22-$B22)/($C22-$B22)</f>
        <v>0.15929443282211822</v>
      </c>
      <c r="F22" s="6">
        <v>1086</v>
      </c>
      <c r="G22" s="7">
        <f t="shared" ref="G22" si="21">(F22-$B22)/($C22-$B22)</f>
        <v>0.11719819996086872</v>
      </c>
      <c r="H22" s="6">
        <v>1516</v>
      </c>
      <c r="I22" s="7">
        <f t="shared" si="20"/>
        <v>0.18191532591845641</v>
      </c>
      <c r="J22" s="6">
        <v>1419</v>
      </c>
      <c r="K22" s="7">
        <f t="shared" ref="K22:M24" si="22">(J22-$B22)/($C22-$B22)</f>
        <v>0.16731634634197734</v>
      </c>
      <c r="L22" s="6">
        <v>1765.7</v>
      </c>
      <c r="M22" s="7">
        <f t="shared" si="22"/>
        <v>0.21949641045708351</v>
      </c>
      <c r="N22" s="8">
        <f t="shared" si="13"/>
        <v>1430.48</v>
      </c>
      <c r="O22" s="10">
        <f t="shared" si="2"/>
        <v>0.16904414310010085</v>
      </c>
      <c r="P22" s="29">
        <v>1387.4</v>
      </c>
      <c r="Q22" s="7">
        <f t="shared" si="3"/>
        <v>0.16256039010881509</v>
      </c>
      <c r="R22" s="6">
        <v>1325.2</v>
      </c>
      <c r="S22" s="7">
        <f t="shared" si="4"/>
        <v>0.15319898258657799</v>
      </c>
      <c r="T22" s="6">
        <v>872.2</v>
      </c>
      <c r="U22" s="7">
        <f t="shared" ref="U22:W28" si="23">(T22-$B22)/($C22-$B22)</f>
        <v>8.5020242914979768E-2</v>
      </c>
      <c r="V22" s="6">
        <v>1952.1</v>
      </c>
      <c r="W22" s="7">
        <f t="shared" si="23"/>
        <v>0.24755053203497734</v>
      </c>
      <c r="X22" s="6">
        <v>1122.7</v>
      </c>
      <c r="Y22" s="7">
        <f t="shared" si="18"/>
        <v>0.12272173140887679</v>
      </c>
      <c r="Z22" s="8">
        <f t="shared" si="5"/>
        <v>1331.9199999999998</v>
      </c>
      <c r="AA22" s="10">
        <f t="shared" si="6"/>
        <v>0.15421037581084537</v>
      </c>
      <c r="AB22" s="37">
        <v>1484.7</v>
      </c>
      <c r="AC22" s="7">
        <f t="shared" si="7"/>
        <v>0.1772045211685204</v>
      </c>
      <c r="AD22" s="9">
        <v>1464</v>
      </c>
      <c r="AE22" s="7">
        <f t="shared" si="7"/>
        <v>0.17408906882591094</v>
      </c>
      <c r="AF22" s="9">
        <v>2117.4</v>
      </c>
      <c r="AG22" s="7">
        <f t="shared" si="7"/>
        <v>0.27242899929262676</v>
      </c>
      <c r="AH22" s="9">
        <v>1534.5</v>
      </c>
      <c r="AI22" s="7">
        <f t="shared" si="7"/>
        <v>0.18469966738407356</v>
      </c>
      <c r="AJ22" s="9">
        <v>1303.0999999999999</v>
      </c>
      <c r="AK22" s="7">
        <f t="shared" si="7"/>
        <v>0.14987282332224613</v>
      </c>
      <c r="AL22" s="9">
        <f>(AB22+AD22+AF22+AH22+AJ22)/5</f>
        <v>1580.7400000000002</v>
      </c>
      <c r="AM22" s="10">
        <f t="shared" si="7"/>
        <v>0.1916590159986756</v>
      </c>
      <c r="AN22" s="37">
        <v>2037.8</v>
      </c>
      <c r="AO22" s="7">
        <f t="shared" si="19"/>
        <v>0.26044880574326867</v>
      </c>
      <c r="AP22" s="9">
        <v>1740.7</v>
      </c>
      <c r="AQ22" s="7">
        <f t="shared" si="19"/>
        <v>0.21573378685489819</v>
      </c>
      <c r="AR22" s="9">
        <v>1661.4</v>
      </c>
      <c r="AS22" s="7">
        <f t="shared" si="10"/>
        <v>0.20379874478876633</v>
      </c>
      <c r="AT22" s="9">
        <f t="shared" si="14"/>
        <v>1813.3</v>
      </c>
      <c r="AU22" s="10">
        <f t="shared" si="11"/>
        <v>0.22666044579564437</v>
      </c>
      <c r="AV22" s="9">
        <v>1921.3</v>
      </c>
      <c r="AW22" s="7">
        <f t="shared" si="12"/>
        <v>0.24291497975708501</v>
      </c>
      <c r="AX22" s="9">
        <v>4902.8999999999996</v>
      </c>
      <c r="AY22" s="7">
        <f t="shared" si="12"/>
        <v>0.69166052104811637</v>
      </c>
      <c r="AZ22" s="39">
        <v>1165.8</v>
      </c>
      <c r="BA22" s="7">
        <f t="shared" si="12"/>
        <v>0.12920849449904429</v>
      </c>
      <c r="BB22" s="9">
        <f t="shared" si="15"/>
        <v>2663.3333333333335</v>
      </c>
      <c r="BC22" s="10">
        <f t="shared" si="12"/>
        <v>0.35459466510141524</v>
      </c>
    </row>
    <row r="23" spans="1:55" x14ac:dyDescent="0.3">
      <c r="A23" s="41" t="s">
        <v>22</v>
      </c>
      <c r="B23" s="22">
        <v>-20.7</v>
      </c>
      <c r="C23" s="23">
        <v>14.6</v>
      </c>
      <c r="D23" s="29">
        <v>20.6</v>
      </c>
      <c r="E23" s="7">
        <f t="shared" si="20"/>
        <v>1.1699716713881021</v>
      </c>
      <c r="F23" s="6">
        <v>19.7</v>
      </c>
      <c r="G23" s="7">
        <f t="shared" si="20"/>
        <v>1.1444759206798867</v>
      </c>
      <c r="H23" s="6">
        <v>20</v>
      </c>
      <c r="I23" s="7">
        <f t="shared" si="20"/>
        <v>1.152974504249292</v>
      </c>
      <c r="J23" s="6">
        <v>20.3</v>
      </c>
      <c r="K23" s="7">
        <f t="shared" si="22"/>
        <v>1.161473087818697</v>
      </c>
      <c r="L23" s="6">
        <v>19.2</v>
      </c>
      <c r="M23" s="7">
        <f t="shared" si="22"/>
        <v>1.1303116147308783</v>
      </c>
      <c r="N23" s="8">
        <f t="shared" si="13"/>
        <v>19.96</v>
      </c>
      <c r="O23" s="10">
        <f t="shared" si="2"/>
        <v>1.1518413597733712</v>
      </c>
      <c r="P23" s="29">
        <v>18.899999999999999</v>
      </c>
      <c r="Q23" s="7">
        <f t="shared" si="3"/>
        <v>1.1218130311614729</v>
      </c>
      <c r="R23" s="6">
        <v>20.2</v>
      </c>
      <c r="S23" s="7">
        <f t="shared" si="4"/>
        <v>1.1586402266288953</v>
      </c>
      <c r="T23" s="6">
        <v>18.399999999999999</v>
      </c>
      <c r="U23" s="7">
        <f t="shared" si="23"/>
        <v>1.1076487252124645</v>
      </c>
      <c r="V23" s="6">
        <v>18.5</v>
      </c>
      <c r="W23" s="7">
        <f t="shared" si="23"/>
        <v>1.1104815864022664</v>
      </c>
      <c r="X23" s="6">
        <v>19.600000000000001</v>
      </c>
      <c r="Y23" s="7">
        <f t="shared" si="18"/>
        <v>1.141643059490085</v>
      </c>
      <c r="Z23" s="8">
        <f t="shared" si="5"/>
        <v>19.119999999999997</v>
      </c>
      <c r="AA23" s="10">
        <f t="shared" si="6"/>
        <v>1.1280453257790368</v>
      </c>
      <c r="AB23" s="37">
        <v>20.170000000000002</v>
      </c>
      <c r="AC23" s="7">
        <f t="shared" si="7"/>
        <v>1.1577903682719548</v>
      </c>
      <c r="AD23" s="9">
        <v>20.39</v>
      </c>
      <c r="AE23" s="7">
        <f t="shared" si="7"/>
        <v>1.1640226628895185</v>
      </c>
      <c r="AF23" s="9">
        <v>20.57</v>
      </c>
      <c r="AG23" s="7">
        <f t="shared" si="7"/>
        <v>1.1691218130311614</v>
      </c>
      <c r="AH23" s="9">
        <v>19.97</v>
      </c>
      <c r="AI23" s="7">
        <f t="shared" si="7"/>
        <v>1.1521246458923513</v>
      </c>
      <c r="AJ23" s="9">
        <v>19.32</v>
      </c>
      <c r="AK23" s="7">
        <f t="shared" si="7"/>
        <v>1.1337110481586401</v>
      </c>
      <c r="AL23" s="9">
        <f>(AB23+AD23+AF23+AH23+AJ23)/5</f>
        <v>20.083999999999996</v>
      </c>
      <c r="AM23" s="10">
        <f t="shared" si="7"/>
        <v>1.155354107648725</v>
      </c>
      <c r="AN23" s="37">
        <v>20.03</v>
      </c>
      <c r="AO23" s="7">
        <f t="shared" si="19"/>
        <v>1.1538243626062326</v>
      </c>
      <c r="AP23" s="9">
        <v>11.27</v>
      </c>
      <c r="AQ23" s="7">
        <f t="shared" si="19"/>
        <v>0.90566572237960341</v>
      </c>
      <c r="AR23" s="9">
        <v>20</v>
      </c>
      <c r="AS23" s="7">
        <f t="shared" si="10"/>
        <v>1.152974504249292</v>
      </c>
      <c r="AT23" s="9">
        <f t="shared" si="14"/>
        <v>17.099999999999998</v>
      </c>
      <c r="AU23" s="10">
        <f t="shared" si="11"/>
        <v>1.0708215297450425</v>
      </c>
      <c r="AV23" s="9">
        <v>21</v>
      </c>
      <c r="AW23" s="7">
        <f t="shared" si="12"/>
        <v>1.1813031161473089</v>
      </c>
      <c r="AX23" s="9">
        <v>19.45</v>
      </c>
      <c r="AY23" s="7">
        <f t="shared" si="12"/>
        <v>1.1373937677053825</v>
      </c>
      <c r="AZ23" s="9">
        <v>19.46</v>
      </c>
      <c r="BA23" s="7">
        <f t="shared" si="12"/>
        <v>1.1376770538243626</v>
      </c>
      <c r="BB23" s="9">
        <f t="shared" si="15"/>
        <v>19.970000000000002</v>
      </c>
      <c r="BC23" s="10">
        <f t="shared" si="12"/>
        <v>1.1521246458923513</v>
      </c>
    </row>
    <row r="24" spans="1:55" x14ac:dyDescent="0.3">
      <c r="A24" s="41" t="s">
        <v>23</v>
      </c>
      <c r="B24" s="22">
        <v>24.9</v>
      </c>
      <c r="C24" s="23">
        <v>69571.3</v>
      </c>
      <c r="D24" s="29">
        <v>100</v>
      </c>
      <c r="E24" s="7">
        <f t="shared" si="20"/>
        <v>1.0798546006694808E-3</v>
      </c>
      <c r="F24" s="6">
        <v>100</v>
      </c>
      <c r="G24" s="7">
        <f t="shared" si="20"/>
        <v>1.0798546006694808E-3</v>
      </c>
      <c r="H24" s="6">
        <v>100</v>
      </c>
      <c r="I24" s="7">
        <f t="shared" si="20"/>
        <v>1.0798546006694808E-3</v>
      </c>
      <c r="J24" s="6">
        <v>100</v>
      </c>
      <c r="K24" s="7">
        <f t="shared" si="22"/>
        <v>1.0798546006694808E-3</v>
      </c>
      <c r="L24" s="6">
        <v>100</v>
      </c>
      <c r="M24" s="7">
        <f t="shared" si="22"/>
        <v>1.0798546006694808E-3</v>
      </c>
      <c r="N24" s="8">
        <f t="shared" si="13"/>
        <v>100</v>
      </c>
      <c r="O24" s="10">
        <f t="shared" si="2"/>
        <v>1.0798546006694808E-3</v>
      </c>
      <c r="P24" s="29">
        <v>100</v>
      </c>
      <c r="Q24" s="7">
        <f t="shared" si="3"/>
        <v>1.0798546006694808E-3</v>
      </c>
      <c r="R24" s="6">
        <v>100</v>
      </c>
      <c r="S24" s="7">
        <f t="shared" si="4"/>
        <v>1.0798546006694808E-3</v>
      </c>
      <c r="T24" s="6">
        <v>-106.7</v>
      </c>
      <c r="U24" s="7">
        <f t="shared" si="23"/>
        <v>-1.8922618568322728E-3</v>
      </c>
      <c r="V24" s="6">
        <v>100</v>
      </c>
      <c r="W24" s="7">
        <f t="shared" si="23"/>
        <v>1.0798546006694808E-3</v>
      </c>
      <c r="X24" s="6">
        <v>100</v>
      </c>
      <c r="Y24" s="7">
        <f t="shared" si="18"/>
        <v>1.0798546006694808E-3</v>
      </c>
      <c r="Z24" s="8">
        <f t="shared" si="5"/>
        <v>58.660000000000004</v>
      </c>
      <c r="AA24" s="10">
        <f t="shared" si="6"/>
        <v>4.8543130916913027E-4</v>
      </c>
      <c r="AB24" s="37">
        <v>-387.48</v>
      </c>
      <c r="AC24" s="7">
        <f t="shared" si="7"/>
        <v>-5.9295664477241085E-3</v>
      </c>
      <c r="AD24" s="9">
        <v>-422</v>
      </c>
      <c r="AE24" s="7">
        <f t="shared" si="7"/>
        <v>-6.4259257129053397E-3</v>
      </c>
      <c r="AF24" s="9">
        <v>-672.14</v>
      </c>
      <c r="AG24" s="7">
        <f t="shared" si="7"/>
        <v>-1.0022661129835618E-2</v>
      </c>
      <c r="AH24" s="9">
        <v>103.09</v>
      </c>
      <c r="AI24" s="7">
        <f t="shared" si="7"/>
        <v>1.1242853691923664E-3</v>
      </c>
      <c r="AJ24" s="9">
        <v>-984</v>
      </c>
      <c r="AK24" s="7">
        <f t="shared" si="7"/>
        <v>-1.4506861606064438E-2</v>
      </c>
      <c r="AL24" s="9">
        <f t="shared" ref="AL24:AL28" si="24">(AB24+AD24+AF24+AH24+AJ24)/5</f>
        <v>-472.50599999999997</v>
      </c>
      <c r="AM24" s="10">
        <f t="shared" si="7"/>
        <v>-7.1521459054674271E-3</v>
      </c>
      <c r="AN24" s="37">
        <v>-122</v>
      </c>
      <c r="AO24" s="7">
        <f t="shared" si="19"/>
        <v>-2.1122588660232593E-3</v>
      </c>
      <c r="AP24" s="9">
        <v>100</v>
      </c>
      <c r="AQ24" s="7">
        <f t="shared" si="19"/>
        <v>1.0798546006694808E-3</v>
      </c>
      <c r="AR24" s="9">
        <v>164.08</v>
      </c>
      <c r="AS24" s="7">
        <f t="shared" si="10"/>
        <v>2.0012538391634936E-3</v>
      </c>
      <c r="AT24" s="9">
        <f t="shared" si="14"/>
        <v>47.360000000000007</v>
      </c>
      <c r="AU24" s="10">
        <f t="shared" si="11"/>
        <v>3.2294985793657194E-4</v>
      </c>
      <c r="AV24" s="9">
        <v>-197</v>
      </c>
      <c r="AW24" s="7">
        <f t="shared" si="12"/>
        <v>-3.1906755777437795E-3</v>
      </c>
      <c r="AX24" s="9">
        <v>-501.13</v>
      </c>
      <c r="AY24" s="7">
        <f t="shared" si="12"/>
        <v>-7.5637272382179368E-3</v>
      </c>
      <c r="AZ24" s="9">
        <v>102.38</v>
      </c>
      <c r="BA24" s="7">
        <f t="shared" si="12"/>
        <v>1.1140763576547453E-3</v>
      </c>
      <c r="BB24" s="9">
        <f t="shared" si="15"/>
        <v>-198.58333333333334</v>
      </c>
      <c r="BC24" s="10">
        <f t="shared" si="12"/>
        <v>-3.2134421527689905E-3</v>
      </c>
    </row>
    <row r="25" spans="1:55" x14ac:dyDescent="0.3">
      <c r="A25" s="41" t="s">
        <v>24</v>
      </c>
      <c r="B25" s="22">
        <v>163.9</v>
      </c>
      <c r="C25" s="23">
        <v>13455</v>
      </c>
      <c r="D25" s="29">
        <v>4884.3999999999996</v>
      </c>
      <c r="E25" s="7">
        <f t="shared" si="20"/>
        <v>0.35516247714636107</v>
      </c>
      <c r="F25" s="6">
        <v>4317.3</v>
      </c>
      <c r="G25" s="7">
        <f t="shared" si="20"/>
        <v>0.31249482736568085</v>
      </c>
      <c r="H25" s="6">
        <v>643.29999999999995</v>
      </c>
      <c r="I25" s="7">
        <f t="shared" si="20"/>
        <v>3.6069249347307597E-2</v>
      </c>
      <c r="J25" s="6">
        <v>4118.3</v>
      </c>
      <c r="K25" s="7">
        <f t="shared" si="20"/>
        <v>0.29752240220899701</v>
      </c>
      <c r="L25" s="6">
        <v>4282.7</v>
      </c>
      <c r="M25" s="7">
        <f t="shared" si="20"/>
        <v>0.30989158158466945</v>
      </c>
      <c r="N25" s="8">
        <f t="shared" si="13"/>
        <v>3649.2</v>
      </c>
      <c r="O25" s="10">
        <f t="shared" si="2"/>
        <v>0.26222810753060316</v>
      </c>
      <c r="P25" s="29">
        <v>3957.2</v>
      </c>
      <c r="Q25" s="7">
        <f t="shared" si="3"/>
        <v>0.28540150928064639</v>
      </c>
      <c r="R25" s="6">
        <v>552.20000000000005</v>
      </c>
      <c r="S25" s="7">
        <f t="shared" si="4"/>
        <v>2.9215038634875973E-2</v>
      </c>
      <c r="T25" s="6">
        <v>4097.8</v>
      </c>
      <c r="U25" s="7">
        <f t="shared" si="23"/>
        <v>0.29598001670290647</v>
      </c>
      <c r="V25" s="6">
        <v>640.9</v>
      </c>
      <c r="W25" s="7">
        <f t="shared" si="23"/>
        <v>3.5888677385618947E-2</v>
      </c>
      <c r="X25" s="6">
        <v>1922.1</v>
      </c>
      <c r="Y25" s="7">
        <f t="shared" si="18"/>
        <v>0.13228400960040929</v>
      </c>
      <c r="Z25" s="8">
        <f t="shared" si="5"/>
        <v>2234.04</v>
      </c>
      <c r="AA25" s="10">
        <f t="shared" si="6"/>
        <v>0.1557538503208914</v>
      </c>
      <c r="AB25" s="37">
        <v>1871.25</v>
      </c>
      <c r="AC25" s="7">
        <f t="shared" si="7"/>
        <v>0.12845814116213103</v>
      </c>
      <c r="AD25" s="9">
        <v>775</v>
      </c>
      <c r="AE25" s="7">
        <f t="shared" si="7"/>
        <v>4.5978135744972198E-2</v>
      </c>
      <c r="AF25" s="9">
        <v>1573.25</v>
      </c>
      <c r="AG25" s="7">
        <f t="shared" si="7"/>
        <v>0.10603712258579048</v>
      </c>
      <c r="AH25" s="9">
        <v>798.5</v>
      </c>
      <c r="AI25" s="7">
        <f t="shared" si="7"/>
        <v>4.7746236203173552E-2</v>
      </c>
      <c r="AJ25" s="9">
        <v>3303.75</v>
      </c>
      <c r="AK25" s="7">
        <f t="shared" si="7"/>
        <v>0.2362370307950433</v>
      </c>
      <c r="AL25" s="9">
        <f t="shared" si="24"/>
        <v>1664.35</v>
      </c>
      <c r="AM25" s="10">
        <f t="shared" si="7"/>
        <v>0.1128913332982221</v>
      </c>
      <c r="AN25" s="37">
        <v>710.25</v>
      </c>
      <c r="AO25" s="7">
        <f t="shared" si="19"/>
        <v>4.1106454695247194E-2</v>
      </c>
      <c r="AP25" s="9">
        <v>914.25</v>
      </c>
      <c r="AQ25" s="7">
        <f t="shared" si="19"/>
        <v>5.6455071438782346E-2</v>
      </c>
      <c r="AR25" s="9">
        <v>995</v>
      </c>
      <c r="AS25" s="7">
        <f t="shared" si="10"/>
        <v>6.2530565566431676E-2</v>
      </c>
      <c r="AT25" s="9">
        <f t="shared" si="14"/>
        <v>873.16666666666663</v>
      </c>
      <c r="AU25" s="10">
        <f t="shared" si="11"/>
        <v>5.3364030566820403E-2</v>
      </c>
      <c r="AV25" s="9">
        <v>1422.75</v>
      </c>
      <c r="AW25" s="7">
        <f t="shared" si="12"/>
        <v>9.4713755821564799E-2</v>
      </c>
      <c r="AX25" s="9">
        <v>375</v>
      </c>
      <c r="AY25" s="7">
        <f t="shared" si="12"/>
        <v>1.5882808796864066E-2</v>
      </c>
      <c r="AZ25" s="9">
        <v>3792.25</v>
      </c>
      <c r="BA25" s="7">
        <f t="shared" si="12"/>
        <v>0.27299094883042035</v>
      </c>
      <c r="BB25" s="9">
        <f t="shared" si="15"/>
        <v>1863.3333333333333</v>
      </c>
      <c r="BC25" s="10">
        <f t="shared" si="12"/>
        <v>0.12786250448294972</v>
      </c>
    </row>
    <row r="26" spans="1:55" x14ac:dyDescent="0.3">
      <c r="A26" s="41" t="s">
        <v>25</v>
      </c>
      <c r="B26" s="22">
        <v>11.5</v>
      </c>
      <c r="C26" s="23">
        <v>7845</v>
      </c>
      <c r="D26" s="29">
        <v>18848.099999999999</v>
      </c>
      <c r="E26" s="7">
        <f t="shared" si="20"/>
        <v>2.4046211782728024</v>
      </c>
      <c r="F26" s="6">
        <v>20388.5</v>
      </c>
      <c r="G26" s="7">
        <f t="shared" si="20"/>
        <v>2.6012638028978108</v>
      </c>
      <c r="H26" s="6">
        <v>19234.599999999999</v>
      </c>
      <c r="I26" s="7">
        <f t="shared" si="20"/>
        <v>2.4539605540307652</v>
      </c>
      <c r="J26" s="6">
        <v>21475</v>
      </c>
      <c r="K26" s="7">
        <f t="shared" si="20"/>
        <v>2.7399629795110743</v>
      </c>
      <c r="L26" s="6">
        <v>23796.2</v>
      </c>
      <c r="M26" s="7">
        <f t="shared" si="20"/>
        <v>3.0362800791472524</v>
      </c>
      <c r="N26" s="8">
        <f t="shared" si="13"/>
        <v>20748.48</v>
      </c>
      <c r="O26" s="10">
        <f t="shared" si="2"/>
        <v>2.647217718771941</v>
      </c>
      <c r="P26" s="29">
        <v>30751.9</v>
      </c>
      <c r="Q26" s="7">
        <f t="shared" si="3"/>
        <v>3.9242228888747048</v>
      </c>
      <c r="R26" s="6">
        <v>28248.1</v>
      </c>
      <c r="S26" s="7">
        <f t="shared" si="4"/>
        <v>3.6045956469011298</v>
      </c>
      <c r="T26" s="6">
        <v>33665.4</v>
      </c>
      <c r="U26" s="7">
        <f t="shared" si="23"/>
        <v>4.2961511457203043</v>
      </c>
      <c r="V26" s="6">
        <v>9484.6</v>
      </c>
      <c r="W26" s="7">
        <f t="shared" si="23"/>
        <v>1.2093061849747879</v>
      </c>
      <c r="X26" s="6">
        <v>29475</v>
      </c>
      <c r="Y26" s="7">
        <f t="shared" si="18"/>
        <v>3.7612178464287993</v>
      </c>
      <c r="Z26" s="8">
        <f t="shared" si="5"/>
        <v>26325</v>
      </c>
      <c r="AA26" s="10">
        <f t="shared" si="6"/>
        <v>3.359098742579945</v>
      </c>
      <c r="AB26" s="37">
        <v>9608</v>
      </c>
      <c r="AC26" s="7">
        <f t="shared" si="7"/>
        <v>1.2250590412969937</v>
      </c>
      <c r="AD26" s="9">
        <v>11252</v>
      </c>
      <c r="AE26" s="7">
        <f t="shared" si="7"/>
        <v>1.4349269164485863</v>
      </c>
      <c r="AF26" s="11">
        <v>11796</v>
      </c>
      <c r="AG26" s="7">
        <f t="shared" si="7"/>
        <v>1.5043722473989916</v>
      </c>
      <c r="AH26" s="11">
        <v>7917</v>
      </c>
      <c r="AI26" s="7">
        <f t="shared" si="7"/>
        <v>1.0091912938022596</v>
      </c>
      <c r="AJ26" s="9">
        <v>22020</v>
      </c>
      <c r="AK26" s="7">
        <f t="shared" si="7"/>
        <v>2.8095359673198441</v>
      </c>
      <c r="AL26" s="9">
        <f t="shared" si="24"/>
        <v>12518.6</v>
      </c>
      <c r="AM26" s="10">
        <f t="shared" si="7"/>
        <v>1.596617093253335</v>
      </c>
      <c r="AN26" s="37">
        <v>10213</v>
      </c>
      <c r="AO26" s="7">
        <f t="shared" si="19"/>
        <v>1.3022914406076467</v>
      </c>
      <c r="AP26" s="9">
        <v>17736</v>
      </c>
      <c r="AQ26" s="7">
        <f t="shared" si="19"/>
        <v>2.2626539860854025</v>
      </c>
      <c r="AR26" s="9">
        <v>15486</v>
      </c>
      <c r="AS26" s="7">
        <f t="shared" si="10"/>
        <v>1.9754260547647922</v>
      </c>
      <c r="AT26" s="9">
        <f t="shared" si="14"/>
        <v>14478.333333333334</v>
      </c>
      <c r="AU26" s="10">
        <f t="shared" si="11"/>
        <v>1.8467904938192805</v>
      </c>
      <c r="AV26" s="9">
        <v>9570</v>
      </c>
      <c r="AW26" s="7">
        <f t="shared" ref="AW26:AW28" si="25">(AV26-$B26)/($C26-$B26)</f>
        <v>1.2202080806791344</v>
      </c>
      <c r="AX26" s="9">
        <v>19100</v>
      </c>
      <c r="AY26" s="7">
        <f t="shared" ref="AY26:AY28" si="26">(AX26-$B26)/($C26-$B26)</f>
        <v>2.4367779408948747</v>
      </c>
      <c r="AZ26" s="9">
        <v>8765</v>
      </c>
      <c r="BA26" s="7">
        <f t="shared" ref="BA26:BC28" si="27">(AZ26-$B26)/($C26-$B26)</f>
        <v>1.1174443096955384</v>
      </c>
      <c r="BB26" s="9">
        <f t="shared" si="15"/>
        <v>12478.333333333334</v>
      </c>
      <c r="BC26" s="10">
        <f t="shared" si="27"/>
        <v>1.5914767770898492</v>
      </c>
    </row>
    <row r="27" spans="1:55" x14ac:dyDescent="0.3">
      <c r="A27" s="41" t="s">
        <v>26</v>
      </c>
      <c r="B27" s="22">
        <v>68.400000000000006</v>
      </c>
      <c r="C27" s="23">
        <v>42054.7</v>
      </c>
      <c r="D27" s="29">
        <v>988.8</v>
      </c>
      <c r="E27" s="7">
        <f t="shared" si="20"/>
        <v>2.1921436278024023E-2</v>
      </c>
      <c r="F27" s="6">
        <v>1634.2</v>
      </c>
      <c r="G27" s="7">
        <f t="shared" si="20"/>
        <v>3.7293117040558474E-2</v>
      </c>
      <c r="H27" s="6">
        <v>1839.2</v>
      </c>
      <c r="I27" s="7">
        <f t="shared" si="20"/>
        <v>4.2175662061196155E-2</v>
      </c>
      <c r="J27" s="6">
        <v>762.1</v>
      </c>
      <c r="K27" s="7">
        <f t="shared" si="20"/>
        <v>1.6522056003982256E-2</v>
      </c>
      <c r="L27" s="6">
        <v>1805.4</v>
      </c>
      <c r="M27" s="7">
        <f t="shared" si="20"/>
        <v>4.137063756511053E-2</v>
      </c>
      <c r="N27" s="8">
        <f t="shared" si="13"/>
        <v>1405.94</v>
      </c>
      <c r="O27" s="10">
        <f t="shared" si="2"/>
        <v>3.1856581789774283E-2</v>
      </c>
      <c r="P27" s="29">
        <v>1713.1</v>
      </c>
      <c r="Q27" s="7">
        <f t="shared" si="3"/>
        <v>3.9172301441184387E-2</v>
      </c>
      <c r="R27" s="6">
        <v>1730.8</v>
      </c>
      <c r="S27" s="7">
        <f t="shared" si="4"/>
        <v>3.9593867523454077E-2</v>
      </c>
      <c r="T27" s="6">
        <v>2387.5</v>
      </c>
      <c r="U27" s="7">
        <f t="shared" si="23"/>
        <v>5.523468369444319E-2</v>
      </c>
      <c r="V27" s="6">
        <v>579.4</v>
      </c>
      <c r="W27" s="7">
        <f t="shared" si="23"/>
        <v>1.2170636612418814E-2</v>
      </c>
      <c r="X27" s="6">
        <v>1811.5</v>
      </c>
      <c r="Y27" s="7">
        <f t="shared" si="18"/>
        <v>4.1515923051090475E-2</v>
      </c>
      <c r="Z27" s="8">
        <f t="shared" si="5"/>
        <v>1644.4599999999998</v>
      </c>
      <c r="AA27" s="10">
        <f t="shared" si="6"/>
        <v>3.7537482464518185E-2</v>
      </c>
      <c r="AB27" s="37">
        <v>559.4</v>
      </c>
      <c r="AC27" s="7">
        <f t="shared" si="7"/>
        <v>1.1694290756746845E-2</v>
      </c>
      <c r="AD27" s="9">
        <v>480.4</v>
      </c>
      <c r="AE27" s="7">
        <f t="shared" si="7"/>
        <v>9.8127246268425658E-3</v>
      </c>
      <c r="AF27" s="9">
        <v>510</v>
      </c>
      <c r="AG27" s="7">
        <f t="shared" si="7"/>
        <v>1.0517716493237081E-2</v>
      </c>
      <c r="AH27" s="9">
        <v>656.8</v>
      </c>
      <c r="AI27" s="7">
        <f t="shared" si="7"/>
        <v>1.4014095073869335E-2</v>
      </c>
      <c r="AJ27" s="9">
        <v>582.79999999999995</v>
      </c>
      <c r="AK27" s="7">
        <f t="shared" si="7"/>
        <v>1.2251615407883049E-2</v>
      </c>
      <c r="AL27" s="9">
        <f t="shared" si="24"/>
        <v>557.87999999999988</v>
      </c>
      <c r="AM27" s="10">
        <f t="shared" si="7"/>
        <v>1.1658088471715773E-2</v>
      </c>
      <c r="AN27" s="37">
        <v>590.4</v>
      </c>
      <c r="AO27" s="7">
        <f t="shared" si="19"/>
        <v>1.2432626833038397E-2</v>
      </c>
      <c r="AP27" s="9">
        <v>333.4</v>
      </c>
      <c r="AQ27" s="7">
        <f t="shared" si="19"/>
        <v>6.3115825876535921E-3</v>
      </c>
      <c r="AR27" s="9">
        <v>513.6</v>
      </c>
      <c r="AS27" s="7">
        <f t="shared" si="10"/>
        <v>1.0603458747258036E-2</v>
      </c>
      <c r="AT27" s="9">
        <f t="shared" si="14"/>
        <v>479.13333333333338</v>
      </c>
      <c r="AU27" s="10">
        <f t="shared" si="11"/>
        <v>9.7825560559833425E-3</v>
      </c>
      <c r="AV27" s="9">
        <v>537</v>
      </c>
      <c r="AW27" s="7">
        <f t="shared" si="25"/>
        <v>1.116078339839424E-2</v>
      </c>
      <c r="AX27" s="9">
        <v>418</v>
      </c>
      <c r="AY27" s="7">
        <f t="shared" si="26"/>
        <v>8.3265255571460233E-3</v>
      </c>
      <c r="AZ27" s="9">
        <v>667.2</v>
      </c>
      <c r="BA27" s="7">
        <f t="shared" si="27"/>
        <v>1.426179491881876E-2</v>
      </c>
      <c r="BB27" s="9">
        <f t="shared" si="15"/>
        <v>540.73333333333335</v>
      </c>
      <c r="BC27" s="10">
        <f t="shared" si="27"/>
        <v>1.1249701291453008E-2</v>
      </c>
    </row>
    <row r="28" spans="1:55" x14ac:dyDescent="0.3">
      <c r="A28" s="41" t="s">
        <v>27</v>
      </c>
      <c r="B28" s="22">
        <v>533.4</v>
      </c>
      <c r="C28" s="23">
        <v>11693.2</v>
      </c>
      <c r="D28" s="29">
        <v>6316.9</v>
      </c>
      <c r="E28" s="7">
        <f t="shared" si="20"/>
        <v>0.51824405455294897</v>
      </c>
      <c r="F28" s="6">
        <v>7422.2</v>
      </c>
      <c r="G28" s="7">
        <f t="shared" si="20"/>
        <v>0.61728704815498481</v>
      </c>
      <c r="H28" s="6">
        <v>4162.8</v>
      </c>
      <c r="I28" s="7">
        <f>(H28-$B28)/($C28-$B28)</f>
        <v>0.32522088209466116</v>
      </c>
      <c r="J28" s="6">
        <v>5845.6</v>
      </c>
      <c r="K28" s="7">
        <f t="shared" si="20"/>
        <v>0.47601211491245365</v>
      </c>
      <c r="L28" s="6">
        <v>4964.3999999999996</v>
      </c>
      <c r="M28" s="7">
        <f t="shared" si="20"/>
        <v>0.39705012634635023</v>
      </c>
      <c r="N28" s="8">
        <f t="shared" si="13"/>
        <v>5742.38</v>
      </c>
      <c r="O28" s="10">
        <f t="shared" si="2"/>
        <v>0.46676284521227979</v>
      </c>
      <c r="P28" s="29">
        <v>5265.5</v>
      </c>
      <c r="Q28" s="7">
        <f t="shared" si="3"/>
        <v>0.42403089661105037</v>
      </c>
      <c r="R28" s="6">
        <v>4680.7</v>
      </c>
      <c r="S28" s="7">
        <f t="shared" si="4"/>
        <v>0.3716285238086704</v>
      </c>
      <c r="T28" s="6">
        <v>2458.8000000000002</v>
      </c>
      <c r="U28" s="7">
        <f t="shared" si="23"/>
        <v>0.17252997365544184</v>
      </c>
      <c r="V28" s="6">
        <v>2034.7</v>
      </c>
      <c r="W28" s="7">
        <f t="shared" si="23"/>
        <v>0.13452750049284037</v>
      </c>
      <c r="X28" s="6">
        <v>5160.7</v>
      </c>
      <c r="Y28" s="7">
        <f t="shared" si="18"/>
        <v>0.41464004731267584</v>
      </c>
      <c r="Z28" s="8">
        <f t="shared" si="5"/>
        <v>3920.0800000000004</v>
      </c>
      <c r="AA28" s="10">
        <f t="shared" si="6"/>
        <v>0.30347138837613574</v>
      </c>
      <c r="AB28" s="37">
        <v>54302.8</v>
      </c>
      <c r="AC28" s="7">
        <f>(AB28-$B28)/($C28-$B28)</f>
        <v>4.8181329414505631</v>
      </c>
      <c r="AD28" s="9">
        <v>47426.8</v>
      </c>
      <c r="AE28" s="7">
        <f t="shared" si="7"/>
        <v>4.2019928672556857</v>
      </c>
      <c r="AF28" s="9">
        <v>11256.9</v>
      </c>
      <c r="AG28" s="7">
        <f t="shared" si="7"/>
        <v>0.96090431728167158</v>
      </c>
      <c r="AH28" s="9">
        <v>18281.400000000001</v>
      </c>
      <c r="AI28" s="7">
        <f t="shared" si="7"/>
        <v>1.5903510815606012</v>
      </c>
      <c r="AJ28" s="9">
        <v>10772.9</v>
      </c>
      <c r="AK28" s="7">
        <f t="shared" si="7"/>
        <v>0.91753436441513281</v>
      </c>
      <c r="AL28" s="9">
        <f t="shared" si="24"/>
        <v>28408.159999999996</v>
      </c>
      <c r="AM28" s="10">
        <f t="shared" si="7"/>
        <v>2.4977831143927305</v>
      </c>
      <c r="AN28" s="37">
        <v>14760.9</v>
      </c>
      <c r="AO28" s="7">
        <f t="shared" si="19"/>
        <v>1.2748884388609114</v>
      </c>
      <c r="AP28" s="9">
        <v>40251.699999999997</v>
      </c>
      <c r="AQ28" s="7">
        <f t="shared" si="19"/>
        <v>3.5590512374773735</v>
      </c>
      <c r="AR28" s="9">
        <v>5537</v>
      </c>
      <c r="AS28" s="7">
        <f t="shared" si="10"/>
        <v>0.44835928959300347</v>
      </c>
      <c r="AT28" s="9">
        <f t="shared" si="14"/>
        <v>20183.2</v>
      </c>
      <c r="AU28" s="10">
        <f t="shared" si="11"/>
        <v>1.7607663219770961</v>
      </c>
      <c r="AV28" s="9">
        <v>10737</v>
      </c>
      <c r="AW28" s="7">
        <f t="shared" si="25"/>
        <v>0.91431746088639576</v>
      </c>
      <c r="AX28" s="9">
        <v>8757.1</v>
      </c>
      <c r="AY28" s="7">
        <f t="shared" si="26"/>
        <v>0.73690388716643662</v>
      </c>
      <c r="AZ28" s="9">
        <v>10527.2</v>
      </c>
      <c r="BA28" s="7">
        <f t="shared" si="27"/>
        <v>0.89551784082152008</v>
      </c>
      <c r="BB28" s="9">
        <f t="shared" si="15"/>
        <v>10007.1</v>
      </c>
      <c r="BC28" s="10">
        <f t="shared" si="27"/>
        <v>0.84891306295811753</v>
      </c>
    </row>
    <row r="29" spans="1:55" x14ac:dyDescent="0.3">
      <c r="A29" s="43" t="s">
        <v>48</v>
      </c>
      <c r="B29" s="24">
        <v>0</v>
      </c>
      <c r="C29" s="17">
        <f>SUM((C3-B3)/(C3-B3))</f>
        <v>1</v>
      </c>
      <c r="D29" s="30"/>
      <c r="E29" s="2"/>
      <c r="F29" s="15"/>
      <c r="G29" s="2"/>
      <c r="H29" s="15"/>
      <c r="I29" s="2"/>
      <c r="J29" s="15"/>
      <c r="K29" s="2"/>
      <c r="L29" s="15"/>
      <c r="M29" s="2"/>
      <c r="N29" s="15"/>
      <c r="O29" s="31">
        <f>AVERAGE(O3:O28)</f>
        <v>1.81797577514349</v>
      </c>
      <c r="P29" s="30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>
        <f>AVERAGE(AA3:AA28)</f>
        <v>1.6089246052345021</v>
      </c>
      <c r="AB29" s="38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7">
        <f>AVERAGE(AM3:AM28)</f>
        <v>1.2900098433807459</v>
      </c>
      <c r="AN29" s="38"/>
      <c r="AO29" s="16"/>
      <c r="AP29" s="16"/>
      <c r="AQ29" s="16"/>
      <c r="AR29" s="16"/>
      <c r="AS29" s="16"/>
      <c r="AT29" s="16"/>
      <c r="AU29" s="17">
        <f>AVERAGE(AU3:AU28)</f>
        <v>1.149590660121151</v>
      </c>
      <c r="AV29" s="16"/>
      <c r="AW29" s="16"/>
      <c r="AX29" s="16"/>
      <c r="AY29" s="16"/>
      <c r="AZ29" s="16"/>
      <c r="BA29" s="16"/>
      <c r="BB29" s="16"/>
      <c r="BC29" s="17">
        <f>AVERAGE(BC3:BC28)</f>
        <v>1.2004937260956159</v>
      </c>
    </row>
    <row r="30" spans="1:55" x14ac:dyDescent="0.3">
      <c r="A30" s="42" t="s">
        <v>49</v>
      </c>
      <c r="B30" s="25">
        <v>0</v>
      </c>
      <c r="C30" s="10">
        <v>1</v>
      </c>
      <c r="D30" s="32"/>
      <c r="O30" s="33">
        <f>MEDIAN(O3:O28)</f>
        <v>0.77263081194774519</v>
      </c>
      <c r="P30" s="32"/>
      <c r="AA30" s="12">
        <f>MEDIAN(AA3:AA28)</f>
        <v>0.73700861263841877</v>
      </c>
      <c r="AB30" s="32"/>
      <c r="AM30" s="12">
        <f>MEDIAN(AM3:AM28)</f>
        <v>0.6510018379450121</v>
      </c>
      <c r="AN30" s="32"/>
      <c r="AU30" s="12">
        <f>MEDIAN(AU3:AU28)</f>
        <v>0.57529207296344209</v>
      </c>
      <c r="BC30" s="12">
        <f>MEDIAN(BC3:BC28)</f>
        <v>0.6340759787251552</v>
      </c>
    </row>
    <row r="31" spans="1:55" x14ac:dyDescent="0.3">
      <c r="A31" s="44" t="s">
        <v>28</v>
      </c>
      <c r="B31" s="25">
        <v>0</v>
      </c>
      <c r="C31" s="10">
        <v>1</v>
      </c>
      <c r="D31" s="32"/>
      <c r="O31" s="33">
        <v>1.004</v>
      </c>
      <c r="P31" s="32"/>
      <c r="AA31" s="10">
        <v>0.91300000000000003</v>
      </c>
      <c r="AB31" s="32"/>
      <c r="AM31" s="10">
        <v>0.59299999999999997</v>
      </c>
      <c r="AN31" s="32"/>
      <c r="AU31" s="10">
        <v>0.52100000000000002</v>
      </c>
      <c r="BC31" s="10">
        <v>0.56100000000000005</v>
      </c>
    </row>
    <row r="32" spans="1:55" x14ac:dyDescent="0.3">
      <c r="A32" s="42" t="s">
        <v>32</v>
      </c>
      <c r="B32" s="25">
        <v>1</v>
      </c>
      <c r="C32" s="10">
        <v>0</v>
      </c>
      <c r="D32" s="32"/>
      <c r="O32" s="33">
        <v>0.39400000000000002</v>
      </c>
      <c r="P32" s="32"/>
      <c r="AA32" s="10">
        <v>0.42399999999999999</v>
      </c>
      <c r="AB32" s="32"/>
      <c r="AM32" s="12">
        <v>0.47399999999999998</v>
      </c>
      <c r="AN32" s="32"/>
      <c r="AU32" s="12">
        <v>0.501</v>
      </c>
      <c r="BC32" s="12">
        <v>0.47299999999999998</v>
      </c>
    </row>
    <row r="33" spans="1:55" x14ac:dyDescent="0.3">
      <c r="A33" s="45" t="s">
        <v>31</v>
      </c>
      <c r="B33" s="26">
        <v>0</v>
      </c>
      <c r="C33" s="27" t="s">
        <v>33</v>
      </c>
      <c r="D33" s="3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35">
        <v>12</v>
      </c>
      <c r="P33" s="3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36">
        <v>12</v>
      </c>
      <c r="AB33" s="34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36">
        <v>12</v>
      </c>
      <c r="AN33" s="34"/>
      <c r="AO33" s="13"/>
      <c r="AP33" s="13"/>
      <c r="AQ33" s="13"/>
      <c r="AR33" s="13"/>
      <c r="AS33" s="13"/>
      <c r="AT33" s="13"/>
      <c r="AU33" s="27">
        <v>10</v>
      </c>
      <c r="AV33" s="13"/>
      <c r="AW33" s="13"/>
      <c r="AX33" s="13"/>
      <c r="AY33" s="13"/>
      <c r="AZ33" s="13"/>
      <c r="BA33" s="13"/>
      <c r="BB33" s="13"/>
      <c r="BC33" s="14">
        <v>9</v>
      </c>
    </row>
    <row r="34" spans="1:55" x14ac:dyDescent="0.3">
      <c r="O34" s="1"/>
    </row>
  </sheetData>
  <mergeCells count="26">
    <mergeCell ref="AZ1:BA1"/>
    <mergeCell ref="BB1:BC1"/>
    <mergeCell ref="AN1:AO1"/>
    <mergeCell ref="AP1:AQ1"/>
    <mergeCell ref="AR1:AS1"/>
    <mergeCell ref="AT1:AU1"/>
    <mergeCell ref="AV1:AW1"/>
    <mergeCell ref="AX1:AY1"/>
    <mergeCell ref="AL1:AM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N1:O1"/>
    <mergeCell ref="D1:E1"/>
    <mergeCell ref="F1:G1"/>
    <mergeCell ref="H1:I1"/>
    <mergeCell ref="J1:K1"/>
    <mergeCell ref="L1:M1"/>
  </mergeCells>
  <phoneticPr fontId="1" type="noConversion"/>
  <conditionalFormatting sqref="E3:E23">
    <cfRule type="cellIs" dxfId="30" priority="87" operator="greaterThan">
      <formula>$E3</formula>
    </cfRule>
    <cfRule type="cellIs" priority="88" operator="greaterThan">
      <formula>$E$3</formula>
    </cfRule>
  </conditionalFormatting>
  <conditionalFormatting sqref="E25:E28">
    <cfRule type="cellIs" priority="86" operator="greaterThan">
      <formula>$E$3</formula>
    </cfRule>
    <cfRule type="cellIs" dxfId="29" priority="85" operator="greaterThan">
      <formula>$E25</formula>
    </cfRule>
  </conditionalFormatting>
  <conditionalFormatting sqref="G3:G15">
    <cfRule type="cellIs" priority="84" operator="greaterThan">
      <formula>$E$3</formula>
    </cfRule>
    <cfRule type="cellIs" dxfId="28" priority="83" operator="greaterThan">
      <formula>$E3</formula>
    </cfRule>
  </conditionalFormatting>
  <conditionalFormatting sqref="G17:G28">
    <cfRule type="cellIs" dxfId="27" priority="81" operator="greaterThan">
      <formula>$E17</formula>
    </cfRule>
    <cfRule type="cellIs" priority="82" operator="greaterThan">
      <formula>$E$3</formula>
    </cfRule>
  </conditionalFormatting>
  <conditionalFormatting sqref="I3:I28">
    <cfRule type="cellIs" priority="76" operator="greaterThan">
      <formula>$E$3</formula>
    </cfRule>
    <cfRule type="cellIs" dxfId="26" priority="75" operator="greaterThan">
      <formula>$E3</formula>
    </cfRule>
  </conditionalFormatting>
  <conditionalFormatting sqref="K3:K23">
    <cfRule type="cellIs" priority="74" operator="greaterThan">
      <formula>$E$3</formula>
    </cfRule>
    <cfRule type="cellIs" dxfId="25" priority="73" operator="greaterThan">
      <formula>$E3</formula>
    </cfRule>
  </conditionalFormatting>
  <conditionalFormatting sqref="K25:K28">
    <cfRule type="cellIs" priority="72" operator="greaterThan">
      <formula>$E$3</formula>
    </cfRule>
    <cfRule type="cellIs" dxfId="24" priority="71" operator="greaterThan">
      <formula>$E25</formula>
    </cfRule>
  </conditionalFormatting>
  <conditionalFormatting sqref="M3:M23">
    <cfRule type="cellIs" priority="68" operator="greaterThan">
      <formula>$E$3</formula>
    </cfRule>
    <cfRule type="cellIs" dxfId="23" priority="67" operator="greaterThan">
      <formula>$E3</formula>
    </cfRule>
  </conditionalFormatting>
  <conditionalFormatting sqref="M25:M28">
    <cfRule type="cellIs" priority="70" operator="greaterThan">
      <formula>$E$3</formula>
    </cfRule>
    <cfRule type="cellIs" dxfId="22" priority="69" operator="greaterThan">
      <formula>$E25</formula>
    </cfRule>
  </conditionalFormatting>
  <conditionalFormatting sqref="O3:O15">
    <cfRule type="cellIs" priority="80" operator="greaterThan">
      <formula>$E$3</formula>
    </cfRule>
    <cfRule type="cellIs" dxfId="21" priority="79" operator="greaterThan">
      <formula>$E3</formula>
    </cfRule>
  </conditionalFormatting>
  <conditionalFormatting sqref="O17:O28">
    <cfRule type="cellIs" priority="78" operator="greaterThan">
      <formula>$E$3</formula>
    </cfRule>
    <cfRule type="cellIs" dxfId="20" priority="77" operator="greaterThan">
      <formula>$E17</formula>
    </cfRule>
  </conditionalFormatting>
  <conditionalFormatting sqref="Q3:Q28">
    <cfRule type="cellIs" priority="64" operator="greaterThan">
      <formula>$E$3</formula>
    </cfRule>
    <cfRule type="cellIs" dxfId="19" priority="63" operator="greaterThan">
      <formula>$E3</formula>
    </cfRule>
  </conditionalFormatting>
  <conditionalFormatting sqref="S3:S28">
    <cfRule type="cellIs" priority="60" operator="greaterThan">
      <formula>$E$3</formula>
    </cfRule>
    <cfRule type="cellIs" dxfId="18" priority="59" operator="greaterThan">
      <formula>$E3</formula>
    </cfRule>
  </conditionalFormatting>
  <conditionalFormatting sqref="U3:U28">
    <cfRule type="cellIs" dxfId="17" priority="65" operator="greaterThan">
      <formula>$E3</formula>
    </cfRule>
    <cfRule type="cellIs" priority="66" operator="greaterThan">
      <formula>$E$3</formula>
    </cfRule>
  </conditionalFormatting>
  <conditionalFormatting sqref="W3:W28">
    <cfRule type="cellIs" dxfId="16" priority="57" operator="greaterThan">
      <formula>$E3</formula>
    </cfRule>
    <cfRule type="cellIs" priority="58" operator="greaterThan">
      <formula>$E$3</formula>
    </cfRule>
  </conditionalFormatting>
  <conditionalFormatting sqref="Y3:Y28">
    <cfRule type="cellIs" priority="56" operator="greaterThan">
      <formula>$E$3</formula>
    </cfRule>
    <cfRule type="cellIs" dxfId="15" priority="55" operator="greaterThan">
      <formula>$E3</formula>
    </cfRule>
  </conditionalFormatting>
  <conditionalFormatting sqref="AA3:AA28">
    <cfRule type="cellIs" dxfId="14" priority="61" operator="greaterThan">
      <formula>$E3</formula>
    </cfRule>
    <cfRule type="cellIs" priority="62" operator="greaterThan">
      <formula>$E$3</formula>
    </cfRule>
  </conditionalFormatting>
  <conditionalFormatting sqref="AC3:AC28">
    <cfRule type="cellIs" priority="46" operator="greaterThan">
      <formula>$E$3</formula>
    </cfRule>
    <cfRule type="cellIs" dxfId="13" priority="45" operator="greaterThan">
      <formula>$E3</formula>
    </cfRule>
  </conditionalFormatting>
  <conditionalFormatting sqref="AE3:AE28">
    <cfRule type="cellIs" dxfId="12" priority="43" operator="greaterThan">
      <formula>$E3</formula>
    </cfRule>
    <cfRule type="cellIs" priority="44" operator="greaterThan">
      <formula>$E$3</formula>
    </cfRule>
  </conditionalFormatting>
  <conditionalFormatting sqref="AG3:AG28">
    <cfRule type="cellIs" priority="42" operator="greaterThan">
      <formula>$E$3</formula>
    </cfRule>
    <cfRule type="cellIs" dxfId="11" priority="41" operator="greaterThan">
      <formula>$E3</formula>
    </cfRule>
  </conditionalFormatting>
  <conditionalFormatting sqref="AI3:AI28">
    <cfRule type="cellIs" priority="40" operator="greaterThan">
      <formula>$E$3</formula>
    </cfRule>
    <cfRule type="cellIs" dxfId="10" priority="39" operator="greaterThan">
      <formula>$E3</formula>
    </cfRule>
  </conditionalFormatting>
  <conditionalFormatting sqref="AK3:AK28">
    <cfRule type="cellIs" priority="38" operator="greaterThan">
      <formula>$E$3</formula>
    </cfRule>
    <cfRule type="cellIs" dxfId="9" priority="37" operator="greaterThan">
      <formula>$E3</formula>
    </cfRule>
  </conditionalFormatting>
  <conditionalFormatting sqref="AM3:AM28">
    <cfRule type="cellIs" priority="36" operator="greaterThan">
      <formula>$E$3</formula>
    </cfRule>
    <cfRule type="cellIs" dxfId="8" priority="35" operator="greaterThan">
      <formula>$E3</formula>
    </cfRule>
  </conditionalFormatting>
  <conditionalFormatting sqref="AO3:AO28">
    <cfRule type="cellIs" dxfId="7" priority="15" operator="greaterThan">
      <formula>$E3</formula>
    </cfRule>
    <cfRule type="cellIs" priority="16" operator="greaterThan">
      <formula>$E$3</formula>
    </cfRule>
  </conditionalFormatting>
  <conditionalFormatting sqref="AQ3:AQ28">
    <cfRule type="cellIs" priority="14" operator="greaterThan">
      <formula>$E$3</formula>
    </cfRule>
    <cfRule type="cellIs" dxfId="6" priority="13" operator="greaterThan">
      <formula>$E3</formula>
    </cfRule>
  </conditionalFormatting>
  <conditionalFormatting sqref="AS3:AS28">
    <cfRule type="cellIs" priority="12" operator="greaterThan">
      <formula>$E$3</formula>
    </cfRule>
    <cfRule type="cellIs" dxfId="5" priority="11" operator="greaterThan">
      <formula>$E3</formula>
    </cfRule>
  </conditionalFormatting>
  <conditionalFormatting sqref="AU3:AU28">
    <cfRule type="cellIs" priority="10" operator="greaterThan">
      <formula>$E$3</formula>
    </cfRule>
    <cfRule type="cellIs" dxfId="4" priority="9" operator="greaterThan">
      <formula>$E3</formula>
    </cfRule>
  </conditionalFormatting>
  <conditionalFormatting sqref="AW3:AW28">
    <cfRule type="cellIs" priority="8" operator="greaterThan">
      <formula>$E$3</formula>
    </cfRule>
    <cfRule type="cellIs" dxfId="3" priority="7" operator="greaterThan">
      <formula>$E3</formula>
    </cfRule>
  </conditionalFormatting>
  <conditionalFormatting sqref="AY3:AY28">
    <cfRule type="cellIs" priority="6" operator="greaterThan">
      <formula>$E$3</formula>
    </cfRule>
    <cfRule type="cellIs" dxfId="2" priority="5" operator="greaterThan">
      <formula>$E3</formula>
    </cfRule>
  </conditionalFormatting>
  <conditionalFormatting sqref="BA3:BA28">
    <cfRule type="cellIs" priority="4" operator="greaterThan">
      <formula>$E$3</formula>
    </cfRule>
    <cfRule type="cellIs" dxfId="1" priority="3" operator="greaterThan">
      <formula>$E3</formula>
    </cfRule>
  </conditionalFormatting>
  <conditionalFormatting sqref="BC3:BC28">
    <cfRule type="cellIs" priority="2" operator="greaterThan">
      <formula>$E$3</formula>
    </cfRule>
    <cfRule type="cellIs" dxfId="0" priority="1" operator="greaterThan">
      <formula>$E3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Darwin Marquis</cp:lastModifiedBy>
  <dcterms:created xsi:type="dcterms:W3CDTF">2015-06-05T18:19:34Z</dcterms:created>
  <dcterms:modified xsi:type="dcterms:W3CDTF">2025-09-24T13:41:51Z</dcterms:modified>
</cp:coreProperties>
</file>