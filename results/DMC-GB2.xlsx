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nternet下载\1109_EAWM_Facilitating_Policy__Supplementary Material (1)\EAWM-supp\results\"/>
    </mc:Choice>
  </mc:AlternateContent>
  <xr:revisionPtr revIDLastSave="0" documentId="13_ncr:1_{A72F499C-F674-4A07-916D-82BC2C0AB51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6" i="1" l="1"/>
  <c r="G11" i="1"/>
  <c r="G26" i="1" s="1"/>
  <c r="G12" i="1"/>
  <c r="G13" i="1"/>
  <c r="G14" i="1"/>
  <c r="G15" i="1"/>
  <c r="G16" i="1"/>
  <c r="H25" i="1"/>
  <c r="H17" i="1"/>
  <c r="H9" i="1"/>
  <c r="F25" i="1"/>
  <c r="E25" i="1"/>
  <c r="D25" i="1"/>
  <c r="C25" i="1"/>
  <c r="B25" i="1"/>
  <c r="G24" i="1"/>
  <c r="G23" i="1"/>
  <c r="G22" i="1"/>
  <c r="G21" i="1"/>
  <c r="G20" i="1"/>
  <c r="G19" i="1"/>
  <c r="F17" i="1"/>
  <c r="E17" i="1"/>
  <c r="D17" i="1"/>
  <c r="C17" i="1"/>
  <c r="B17" i="1"/>
  <c r="F9" i="1"/>
  <c r="E9" i="1"/>
  <c r="D9" i="1"/>
  <c r="C9" i="1"/>
  <c r="B9" i="1"/>
  <c r="G8" i="1"/>
  <c r="G7" i="1"/>
  <c r="G6" i="1"/>
  <c r="G5" i="1"/>
  <c r="G4" i="1"/>
  <c r="G3" i="1"/>
  <c r="G25" i="1" l="1"/>
  <c r="G17" i="1"/>
  <c r="G9" i="1"/>
</calcChain>
</file>

<file path=xl/sharedStrings.xml><?xml version="1.0" encoding="utf-8"?>
<sst xmlns="http://schemas.openxmlformats.org/spreadsheetml/2006/main" count="33" uniqueCount="19">
  <si>
    <t>color_hard</t>
    <phoneticPr fontId="1" type="noConversion"/>
  </si>
  <si>
    <t>Cartpole Swingup</t>
    <phoneticPr fontId="1" type="noConversion"/>
  </si>
  <si>
    <t>Cheetah Run</t>
    <phoneticPr fontId="1" type="noConversion"/>
  </si>
  <si>
    <t>Cup Catch</t>
    <phoneticPr fontId="1" type="noConversion"/>
  </si>
  <si>
    <t>Finger Spin</t>
    <phoneticPr fontId="1" type="noConversion"/>
  </si>
  <si>
    <t>Walker Stand</t>
    <phoneticPr fontId="1" type="noConversion"/>
  </si>
  <si>
    <t>Walker Walk</t>
    <phoneticPr fontId="1" type="noConversion"/>
  </si>
  <si>
    <t>Mean</t>
    <phoneticPr fontId="1" type="noConversion"/>
  </si>
  <si>
    <t>video_hard</t>
    <phoneticPr fontId="1" type="noConversion"/>
  </si>
  <si>
    <t>color_video_hard</t>
    <phoneticPr fontId="1" type="noConversion"/>
  </si>
  <si>
    <t>All_mean</t>
    <phoneticPr fontId="1" type="noConversion"/>
  </si>
  <si>
    <t>Task</t>
    <phoneticPr fontId="1" type="noConversion"/>
  </si>
  <si>
    <t>EADream_seed0</t>
    <phoneticPr fontId="1" type="noConversion"/>
  </si>
  <si>
    <t>EADream_seed1</t>
  </si>
  <si>
    <t>EADream_seed2</t>
  </si>
  <si>
    <t>EADream_seed3</t>
  </si>
  <si>
    <t>EADream_seed4</t>
  </si>
  <si>
    <t>EADream_Average</t>
    <phoneticPr fontId="1" type="noConversion"/>
  </si>
  <si>
    <t>SADA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</si>
</sst>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176" fontId="0" fillId="0" borderId="0" xfId="0" applyNumberFormat="1" applyAlignment="1">
      <alignment horizontal="center"/>
    </xf>
    <xf numFmtId="176" fontId="0" fillId="0" borderId="4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176" fontId="0" fillId="0" borderId="5" xfId="0" applyNumberFormat="1" applyBorder="1" applyAlignment="1">
      <alignment horizontal="center"/>
    </xf>
    <xf numFmtId="176" fontId="0" fillId="0" borderId="6" xfId="0" applyNumberFormat="1" applyBorder="1" applyAlignment="1">
      <alignment horizontal="center"/>
    </xf>
    <xf numFmtId="0" fontId="0" fillId="0" borderId="7" xfId="0" applyBorder="1"/>
    <xf numFmtId="0" fontId="2" fillId="0" borderId="8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76" fontId="0" fillId="0" borderId="2" xfId="0" applyNumberFormat="1" applyBorder="1" applyAlignment="1">
      <alignment horizontal="center"/>
    </xf>
    <xf numFmtId="176" fontId="0" fillId="0" borderId="3" xfId="0" applyNumberForma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176" fontId="3" fillId="0" borderId="1" xfId="0" applyNumberFormat="1" applyFont="1" applyBorder="1" applyAlignment="1">
      <alignment horizontal="center"/>
    </xf>
    <xf numFmtId="0" fontId="2" fillId="0" borderId="1" xfId="0" applyFont="1" applyBorder="1"/>
    <xf numFmtId="176" fontId="0" fillId="0" borderId="7" xfId="0" applyNumberFormat="1" applyBorder="1" applyAlignment="1">
      <alignment horizontal="center"/>
    </xf>
    <xf numFmtId="176" fontId="0" fillId="0" borderId="8" xfId="0" applyNumberFormat="1" applyBorder="1" applyAlignment="1">
      <alignment horizontal="center"/>
    </xf>
    <xf numFmtId="176" fontId="0" fillId="0" borderId="9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G26" sqref="G26"/>
    </sheetView>
  </sheetViews>
  <sheetFormatPr defaultColWidth="16.58203125" defaultRowHeight="14" x14ac:dyDescent="0.3"/>
  <sheetData>
    <row r="1" spans="1:8" x14ac:dyDescent="0.3">
      <c r="A1" s="7" t="s">
        <v>11</v>
      </c>
      <c r="B1" s="23" t="s">
        <v>12</v>
      </c>
      <c r="C1" s="23" t="s">
        <v>13</v>
      </c>
      <c r="D1" s="23" t="s">
        <v>14</v>
      </c>
      <c r="E1" s="23" t="s">
        <v>15</v>
      </c>
      <c r="F1" s="23" t="s">
        <v>16</v>
      </c>
      <c r="G1" s="25" t="s">
        <v>17</v>
      </c>
      <c r="H1" s="21" t="s">
        <v>18</v>
      </c>
    </row>
    <row r="2" spans="1:8" x14ac:dyDescent="0.3">
      <c r="A2" s="8" t="s">
        <v>0</v>
      </c>
      <c r="B2" s="24"/>
      <c r="C2" s="24"/>
      <c r="D2" s="24"/>
      <c r="E2" s="24"/>
      <c r="F2" s="24"/>
      <c r="G2" s="26"/>
      <c r="H2" s="22"/>
    </row>
    <row r="3" spans="1:8" x14ac:dyDescent="0.3">
      <c r="A3" s="7" t="s">
        <v>1</v>
      </c>
      <c r="B3" s="12">
        <v>777.6</v>
      </c>
      <c r="C3" s="12">
        <v>796.4</v>
      </c>
      <c r="D3" s="12">
        <v>809</v>
      </c>
      <c r="E3" s="12">
        <v>670.6</v>
      </c>
      <c r="F3" s="12">
        <v>816.9</v>
      </c>
      <c r="G3" s="13">
        <f t="shared" ref="G3:G4" si="0">AVERAGE(B3:F3)</f>
        <v>774.1</v>
      </c>
      <c r="H3" s="17">
        <v>716</v>
      </c>
    </row>
    <row r="4" spans="1:8" x14ac:dyDescent="0.3">
      <c r="A4" s="9" t="s">
        <v>2</v>
      </c>
      <c r="B4" s="1">
        <v>564.9</v>
      </c>
      <c r="C4" s="1">
        <v>588.1</v>
      </c>
      <c r="D4" s="1">
        <v>648.9</v>
      </c>
      <c r="E4" s="1">
        <v>653.5</v>
      </c>
      <c r="F4" s="1">
        <v>381.2</v>
      </c>
      <c r="G4" s="2">
        <f t="shared" si="0"/>
        <v>567.31999999999994</v>
      </c>
      <c r="H4" s="18">
        <v>239</v>
      </c>
    </row>
    <row r="5" spans="1:8" x14ac:dyDescent="0.3">
      <c r="A5" s="9" t="s">
        <v>3</v>
      </c>
      <c r="B5" s="1">
        <v>786.6</v>
      </c>
      <c r="C5" s="1">
        <v>958.5</v>
      </c>
      <c r="D5" s="1">
        <v>919.3</v>
      </c>
      <c r="E5" s="1">
        <v>949.5</v>
      </c>
      <c r="F5" s="1">
        <v>956.5</v>
      </c>
      <c r="G5" s="2">
        <f>AVERAGE(B5:F5)</f>
        <v>914.07999999999993</v>
      </c>
      <c r="H5" s="18">
        <v>961</v>
      </c>
    </row>
    <row r="6" spans="1:8" x14ac:dyDescent="0.3">
      <c r="A6" s="9" t="s">
        <v>4</v>
      </c>
      <c r="B6" s="1">
        <v>351.1</v>
      </c>
      <c r="C6" s="1">
        <v>470.7</v>
      </c>
      <c r="D6" s="1">
        <v>623.6</v>
      </c>
      <c r="E6" s="1">
        <v>741.5</v>
      </c>
      <c r="F6" s="1">
        <v>691.6</v>
      </c>
      <c r="G6" s="2">
        <f>AVERAGE(B6:F6)</f>
        <v>575.70000000000005</v>
      </c>
      <c r="H6" s="18">
        <v>868</v>
      </c>
    </row>
    <row r="7" spans="1:8" x14ac:dyDescent="0.3">
      <c r="A7" s="9" t="s">
        <v>5</v>
      </c>
      <c r="B7" s="1">
        <v>968.1</v>
      </c>
      <c r="C7" s="1">
        <v>961.2</v>
      </c>
      <c r="D7" s="1">
        <v>966.6</v>
      </c>
      <c r="E7" s="1">
        <v>953.8</v>
      </c>
      <c r="F7" s="1">
        <v>968.1</v>
      </c>
      <c r="G7" s="2">
        <f>AVERAGE(B7:F7)</f>
        <v>963.56000000000006</v>
      </c>
      <c r="H7" s="18">
        <v>963</v>
      </c>
    </row>
    <row r="8" spans="1:8" x14ac:dyDescent="0.3">
      <c r="A8" s="9" t="s">
        <v>6</v>
      </c>
      <c r="B8" s="1">
        <v>652.5</v>
      </c>
      <c r="C8" s="1">
        <v>736</v>
      </c>
      <c r="D8" s="1">
        <v>627.70000000000005</v>
      </c>
      <c r="E8" s="1">
        <v>814.5</v>
      </c>
      <c r="F8" s="1">
        <v>693.1</v>
      </c>
      <c r="G8" s="2">
        <f>AVERAGE(B8:F8)</f>
        <v>704.76</v>
      </c>
      <c r="H8" s="18">
        <v>825</v>
      </c>
    </row>
    <row r="9" spans="1:8" x14ac:dyDescent="0.3">
      <c r="A9" s="10" t="s">
        <v>7</v>
      </c>
      <c r="B9" s="5">
        <f>AVERAGE(B3:B8)</f>
        <v>683.46666666666658</v>
      </c>
      <c r="C9" s="5">
        <f>AVERAGE(C3:C8)</f>
        <v>751.81666666666661</v>
      </c>
      <c r="D9" s="5">
        <f t="shared" ref="D9:G9" si="1">AVERAGE(D3:D8)</f>
        <v>765.84999999999991</v>
      </c>
      <c r="E9" s="5">
        <f t="shared" si="1"/>
        <v>797.23333333333323</v>
      </c>
      <c r="F9" s="5">
        <f t="shared" si="1"/>
        <v>751.23333333333323</v>
      </c>
      <c r="G9" s="6">
        <f t="shared" si="1"/>
        <v>749.92</v>
      </c>
      <c r="H9" s="19">
        <f>AVERAGE(H3:H8)</f>
        <v>762</v>
      </c>
    </row>
    <row r="10" spans="1:8" x14ac:dyDescent="0.3">
      <c r="A10" s="8" t="s">
        <v>8</v>
      </c>
      <c r="B10" s="3"/>
      <c r="C10" s="3"/>
      <c r="D10" s="3"/>
      <c r="E10" s="3"/>
      <c r="F10" s="3"/>
      <c r="G10" s="4"/>
      <c r="H10" s="20"/>
    </row>
    <row r="11" spans="1:8" x14ac:dyDescent="0.3">
      <c r="A11" s="7" t="s">
        <v>1</v>
      </c>
      <c r="B11" s="12">
        <v>364.2</v>
      </c>
      <c r="C11" s="12">
        <v>541</v>
      </c>
      <c r="D11" s="12">
        <v>429.5</v>
      </c>
      <c r="E11" s="12">
        <v>441.3</v>
      </c>
      <c r="F11" s="12">
        <v>471.2</v>
      </c>
      <c r="G11" s="13">
        <f t="shared" ref="G11:G16" si="2">AVERAGE(B11:F11)</f>
        <v>449.43999999999994</v>
      </c>
      <c r="H11" s="17">
        <v>363</v>
      </c>
    </row>
    <row r="12" spans="1:8" x14ac:dyDescent="0.3">
      <c r="A12" s="9" t="s">
        <v>2</v>
      </c>
      <c r="B12" s="1">
        <v>306.89999999999998</v>
      </c>
      <c r="C12" s="1">
        <v>232.5</v>
      </c>
      <c r="D12" s="1">
        <v>146.80000000000001</v>
      </c>
      <c r="E12" s="1">
        <v>274.5</v>
      </c>
      <c r="F12" s="1">
        <v>239.4</v>
      </c>
      <c r="G12" s="2">
        <f t="shared" si="2"/>
        <v>240.02000000000004</v>
      </c>
      <c r="H12" s="18">
        <v>82</v>
      </c>
    </row>
    <row r="13" spans="1:8" x14ac:dyDescent="0.3">
      <c r="A13" s="9" t="s">
        <v>3</v>
      </c>
      <c r="B13" s="1">
        <v>402.5</v>
      </c>
      <c r="C13" s="1">
        <v>308.39999999999998</v>
      </c>
      <c r="D13" s="1">
        <v>328.4</v>
      </c>
      <c r="E13" s="1">
        <v>92.2</v>
      </c>
      <c r="F13" s="1">
        <v>308.89999999999998</v>
      </c>
      <c r="G13" s="2">
        <f t="shared" si="2"/>
        <v>288.08000000000004</v>
      </c>
      <c r="H13" s="18">
        <v>662</v>
      </c>
    </row>
    <row r="14" spans="1:8" x14ac:dyDescent="0.3">
      <c r="A14" s="9" t="s">
        <v>4</v>
      </c>
      <c r="B14" s="1">
        <v>242.5</v>
      </c>
      <c r="C14" s="1">
        <v>307.89999999999998</v>
      </c>
      <c r="D14" s="1">
        <v>478.7</v>
      </c>
      <c r="E14" s="1">
        <v>492</v>
      </c>
      <c r="F14" s="1">
        <v>481.2</v>
      </c>
      <c r="G14" s="2">
        <f t="shared" si="2"/>
        <v>400.46</v>
      </c>
      <c r="H14" s="18">
        <v>566</v>
      </c>
    </row>
    <row r="15" spans="1:8" x14ac:dyDescent="0.3">
      <c r="A15" s="9" t="s">
        <v>5</v>
      </c>
      <c r="B15" s="1">
        <v>881.2</v>
      </c>
      <c r="C15" s="1">
        <v>898</v>
      </c>
      <c r="D15" s="1">
        <v>870.1</v>
      </c>
      <c r="E15" s="1">
        <v>831.4</v>
      </c>
      <c r="F15" s="1">
        <v>881.2</v>
      </c>
      <c r="G15" s="2">
        <f t="shared" si="2"/>
        <v>872.38000000000011</v>
      </c>
      <c r="H15" s="18">
        <v>702</v>
      </c>
    </row>
    <row r="16" spans="1:8" x14ac:dyDescent="0.3">
      <c r="A16" s="9" t="s">
        <v>6</v>
      </c>
      <c r="B16" s="1">
        <v>690.1</v>
      </c>
      <c r="C16" s="1">
        <v>556.6</v>
      </c>
      <c r="D16" s="1">
        <v>526.5</v>
      </c>
      <c r="E16" s="1">
        <v>669.3</v>
      </c>
      <c r="F16" s="1">
        <v>621.9</v>
      </c>
      <c r="G16" s="2">
        <f t="shared" si="2"/>
        <v>612.88</v>
      </c>
      <c r="H16" s="18">
        <v>270</v>
      </c>
    </row>
    <row r="17" spans="1:8" x14ac:dyDescent="0.3">
      <c r="A17" s="10" t="s">
        <v>7</v>
      </c>
      <c r="B17" s="5">
        <f>AVERAGE(B11:B16)</f>
        <v>481.23333333333335</v>
      </c>
      <c r="C17" s="5">
        <f>AVERAGE(C11:C16)</f>
        <v>474.06666666666666</v>
      </c>
      <c r="D17" s="5">
        <f t="shared" ref="D17:G17" si="3">AVERAGE(D11:D16)</f>
        <v>463.33333333333331</v>
      </c>
      <c r="E17" s="5">
        <f t="shared" si="3"/>
        <v>466.7833333333333</v>
      </c>
      <c r="F17" s="5">
        <f t="shared" si="3"/>
        <v>500.63333333333338</v>
      </c>
      <c r="G17" s="6">
        <f t="shared" si="3"/>
        <v>477.21000000000004</v>
      </c>
      <c r="H17" s="19">
        <f>AVERAGE(H11:H16)</f>
        <v>440.83333333333331</v>
      </c>
    </row>
    <row r="18" spans="1:8" x14ac:dyDescent="0.3">
      <c r="A18" s="8" t="s">
        <v>9</v>
      </c>
      <c r="B18" s="3"/>
      <c r="C18" s="3"/>
      <c r="D18" s="3"/>
      <c r="E18" s="3"/>
      <c r="F18" s="3"/>
      <c r="G18" s="4"/>
      <c r="H18" s="20"/>
    </row>
    <row r="19" spans="1:8" x14ac:dyDescent="0.3">
      <c r="A19" s="7" t="s">
        <v>1</v>
      </c>
      <c r="B19" s="12">
        <v>472.6</v>
      </c>
      <c r="C19" s="12">
        <v>386.4</v>
      </c>
      <c r="D19" s="12">
        <v>439.5</v>
      </c>
      <c r="E19" s="12">
        <v>437.4</v>
      </c>
      <c r="F19" s="12">
        <v>447.9</v>
      </c>
      <c r="G19" s="13">
        <f t="shared" ref="G19:G24" si="4">AVERAGE(B19:F19)</f>
        <v>436.76000000000005</v>
      </c>
      <c r="H19" s="17">
        <v>426</v>
      </c>
    </row>
    <row r="20" spans="1:8" x14ac:dyDescent="0.3">
      <c r="A20" s="9" t="s">
        <v>2</v>
      </c>
      <c r="B20" s="1">
        <v>565.1</v>
      </c>
      <c r="C20" s="1">
        <v>593.6</v>
      </c>
      <c r="D20" s="1">
        <v>567.4</v>
      </c>
      <c r="E20" s="1">
        <v>626.5</v>
      </c>
      <c r="F20" s="1">
        <v>304.10000000000002</v>
      </c>
      <c r="G20" s="2">
        <f t="shared" si="4"/>
        <v>531.33999999999992</v>
      </c>
      <c r="H20" s="18">
        <v>99</v>
      </c>
    </row>
    <row r="21" spans="1:8" x14ac:dyDescent="0.3">
      <c r="A21" s="9" t="s">
        <v>3</v>
      </c>
      <c r="B21" s="1">
        <v>766</v>
      </c>
      <c r="C21" s="1">
        <v>695</v>
      </c>
      <c r="D21" s="1">
        <v>594.70000000000005</v>
      </c>
      <c r="E21" s="1">
        <v>346.8</v>
      </c>
      <c r="F21" s="1">
        <v>462.1</v>
      </c>
      <c r="G21" s="2">
        <f t="shared" si="4"/>
        <v>572.91999999999996</v>
      </c>
      <c r="H21" s="18">
        <v>697</v>
      </c>
    </row>
    <row r="22" spans="1:8" x14ac:dyDescent="0.3">
      <c r="A22" s="9" t="s">
        <v>4</v>
      </c>
      <c r="B22" s="1">
        <v>294.39999999999998</v>
      </c>
      <c r="C22" s="1">
        <v>217.1</v>
      </c>
      <c r="D22" s="1">
        <v>483.1</v>
      </c>
      <c r="E22" s="1">
        <v>479</v>
      </c>
      <c r="F22" s="1">
        <v>518.20000000000005</v>
      </c>
      <c r="G22" s="2">
        <f t="shared" si="4"/>
        <v>398.36</v>
      </c>
      <c r="H22" s="18">
        <v>633</v>
      </c>
    </row>
    <row r="23" spans="1:8" x14ac:dyDescent="0.3">
      <c r="A23" s="9" t="s">
        <v>5</v>
      </c>
      <c r="B23" s="1">
        <v>958.3</v>
      </c>
      <c r="C23" s="1">
        <v>957.2</v>
      </c>
      <c r="D23" s="1">
        <v>919.2</v>
      </c>
      <c r="E23" s="1">
        <v>968.5</v>
      </c>
      <c r="F23" s="1">
        <v>958.3</v>
      </c>
      <c r="G23" s="2">
        <f t="shared" si="4"/>
        <v>952.3</v>
      </c>
      <c r="H23" s="18">
        <v>906</v>
      </c>
    </row>
    <row r="24" spans="1:8" x14ac:dyDescent="0.3">
      <c r="A24" s="9" t="s">
        <v>6</v>
      </c>
      <c r="B24" s="1">
        <v>579.6</v>
      </c>
      <c r="C24" s="1">
        <v>653.1</v>
      </c>
      <c r="D24" s="1">
        <v>591.1</v>
      </c>
      <c r="E24" s="1">
        <v>782.5</v>
      </c>
      <c r="F24" s="1">
        <v>634.4</v>
      </c>
      <c r="G24" s="2">
        <f t="shared" si="4"/>
        <v>648.1400000000001</v>
      </c>
      <c r="H24" s="18">
        <v>686</v>
      </c>
    </row>
    <row r="25" spans="1:8" x14ac:dyDescent="0.3">
      <c r="A25" s="10" t="s">
        <v>7</v>
      </c>
      <c r="B25" s="5">
        <f>AVERAGE(B19:B24)</f>
        <v>605.99999999999989</v>
      </c>
      <c r="C25" s="5">
        <f>AVERAGE(C19:C24)</f>
        <v>583.73333333333335</v>
      </c>
      <c r="D25" s="5">
        <f t="shared" ref="D25:G25" si="5">AVERAGE(D19:D24)</f>
        <v>599.16666666666663</v>
      </c>
      <c r="E25" s="5">
        <f t="shared" si="5"/>
        <v>606.7833333333333</v>
      </c>
      <c r="F25" s="5">
        <f t="shared" si="5"/>
        <v>554.16666666666663</v>
      </c>
      <c r="G25" s="6">
        <f t="shared" si="5"/>
        <v>589.97000000000014</v>
      </c>
      <c r="H25" s="19">
        <f>AVERAGE(H19:H24)</f>
        <v>574.5</v>
      </c>
    </row>
    <row r="26" spans="1:8" x14ac:dyDescent="0.3">
      <c r="A26" s="16" t="s">
        <v>10</v>
      </c>
      <c r="B26" s="11"/>
      <c r="C26" s="11"/>
      <c r="D26" s="11"/>
      <c r="E26" s="11"/>
      <c r="F26" s="11"/>
      <c r="G26" s="14">
        <f>AVERAGE(G3:G8,G11:G16,G19:G24)</f>
        <v>605.69999999999993</v>
      </c>
      <c r="H26" s="15">
        <f>AVERAGE(H3:H8,H11:H16,H19:H24)</f>
        <v>592.44444444444446</v>
      </c>
    </row>
  </sheetData>
  <mergeCells count="7">
    <mergeCell ref="H1:H2"/>
    <mergeCell ref="B1:B2"/>
    <mergeCell ref="C1:C2"/>
    <mergeCell ref="D1:D2"/>
    <mergeCell ref="E1:E2"/>
    <mergeCell ref="F1:F2"/>
    <mergeCell ref="G1:G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Darwin Marquis</cp:lastModifiedBy>
  <dcterms:created xsi:type="dcterms:W3CDTF">2015-06-05T18:19:34Z</dcterms:created>
  <dcterms:modified xsi:type="dcterms:W3CDTF">2025-09-24T13:43:36Z</dcterms:modified>
</cp:coreProperties>
</file>